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AA9858D1-FFA0-425E-9BAD-960CE52F30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ересчет мощностей" sheetId="2" r:id="rId1"/>
    <sheet name="Данные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H7" i="1" s="1"/>
  <c r="G2" i="1"/>
  <c r="E2" i="1"/>
  <c r="H29" i="1" l="1"/>
  <c r="H36" i="1"/>
  <c r="E36" i="1" s="1"/>
  <c r="H28" i="1"/>
  <c r="E28" i="1" s="1"/>
  <c r="H20" i="1"/>
  <c r="E20" i="1" s="1"/>
  <c r="H12" i="1"/>
  <c r="E12" i="1" s="1"/>
  <c r="H4" i="1"/>
  <c r="E4" i="1" s="1"/>
  <c r="H3" i="1"/>
  <c r="E3" i="1" s="1"/>
  <c r="H30" i="1"/>
  <c r="E30" i="1" s="1"/>
  <c r="H22" i="1"/>
  <c r="E22" i="1" s="1"/>
  <c r="H14" i="1"/>
  <c r="E14" i="1" s="1"/>
  <c r="H6" i="1"/>
  <c r="E6" i="1" s="1"/>
  <c r="H32" i="1"/>
  <c r="E32" i="1" s="1"/>
  <c r="H24" i="1"/>
  <c r="E24" i="1" s="1"/>
  <c r="H16" i="1"/>
  <c r="E16" i="1" s="1"/>
  <c r="H8" i="1"/>
  <c r="E8" i="1" s="1"/>
  <c r="H34" i="1"/>
  <c r="E34" i="1" s="1"/>
  <c r="H26" i="1"/>
  <c r="E26" i="1" s="1"/>
  <c r="H18" i="1"/>
  <c r="E18" i="1" s="1"/>
  <c r="H10" i="1"/>
  <c r="E10" i="1" s="1"/>
  <c r="H37" i="1"/>
  <c r="E37" i="1" s="1"/>
  <c r="H33" i="1"/>
  <c r="E33" i="1" s="1"/>
  <c r="E29" i="1"/>
  <c r="H25" i="1"/>
  <c r="E25" i="1" s="1"/>
  <c r="H21" i="1"/>
  <c r="E21" i="1" s="1"/>
  <c r="H17" i="1"/>
  <c r="E17" i="1" s="1"/>
  <c r="H13" i="1"/>
  <c r="E13" i="1" s="1"/>
  <c r="H9" i="1"/>
  <c r="E9" i="1" s="1"/>
  <c r="H5" i="1"/>
  <c r="E5" i="1" s="1"/>
  <c r="H35" i="1"/>
  <c r="E35" i="1" s="1"/>
  <c r="H31" i="1"/>
  <c r="E31" i="1" s="1"/>
  <c r="H27" i="1"/>
  <c r="E27" i="1" s="1"/>
  <c r="H23" i="1"/>
  <c r="E23" i="1" s="1"/>
  <c r="H19" i="1"/>
  <c r="E19" i="1" s="1"/>
  <c r="H15" i="1"/>
  <c r="E15" i="1" s="1"/>
  <c r="H11" i="1"/>
  <c r="E11" i="1" s="1"/>
  <c r="E7" i="1"/>
  <c r="R8" i="2" l="1"/>
  <c r="T8" i="2"/>
  <c r="U8" i="2"/>
  <c r="Y8" i="2"/>
  <c r="V8" i="2"/>
  <c r="X8" i="2"/>
  <c r="AB8" i="2"/>
  <c r="S8" i="2"/>
  <c r="W8" i="2"/>
  <c r="AA8" i="2"/>
  <c r="Z8" i="2"/>
  <c r="Y11" i="2"/>
  <c r="X11" i="2"/>
  <c r="Z11" i="2"/>
  <c r="AA11" i="2"/>
  <c r="S11" i="2"/>
  <c r="W11" i="2"/>
  <c r="AB11" i="2"/>
  <c r="V11" i="2"/>
  <c r="T11" i="2"/>
  <c r="U11" i="2"/>
  <c r="AA9" i="2"/>
  <c r="S9" i="2"/>
  <c r="X9" i="2"/>
  <c r="AB9" i="2"/>
  <c r="U9" i="2"/>
  <c r="T9" i="2"/>
  <c r="Y9" i="2"/>
  <c r="V9" i="2"/>
  <c r="Z9" i="2"/>
  <c r="W9" i="2"/>
  <c r="S14" i="2"/>
  <c r="U14" i="2"/>
  <c r="W14" i="2"/>
  <c r="X14" i="2"/>
  <c r="AA14" i="2"/>
  <c r="V14" i="2"/>
  <c r="T14" i="2"/>
  <c r="Y14" i="2"/>
  <c r="Z14" i="2"/>
  <c r="AB14" i="2"/>
  <c r="W13" i="2"/>
  <c r="AB13" i="2"/>
  <c r="X13" i="2"/>
  <c r="Y13" i="2"/>
  <c r="AA13" i="2"/>
  <c r="T13" i="2"/>
  <c r="Z13" i="2"/>
  <c r="S13" i="2"/>
  <c r="U13" i="2"/>
  <c r="V13" i="2"/>
  <c r="Y10" i="2"/>
  <c r="Z10" i="2"/>
  <c r="S10" i="2"/>
  <c r="V10" i="2"/>
  <c r="T10" i="2"/>
  <c r="W10" i="2"/>
  <c r="U10" i="2"/>
  <c r="AA10" i="2"/>
  <c r="AB10" i="2"/>
  <c r="X10" i="2"/>
  <c r="T12" i="2"/>
  <c r="Y12" i="2"/>
  <c r="S12" i="2"/>
  <c r="U12" i="2"/>
  <c r="X12" i="2"/>
  <c r="Z12" i="2"/>
  <c r="V12" i="2"/>
  <c r="W12" i="2"/>
  <c r="AA12" i="2"/>
  <c r="AB12" i="2"/>
  <c r="M10" i="2"/>
  <c r="Q10" i="2"/>
  <c r="O10" i="2"/>
  <c r="Q8" i="2"/>
  <c r="O8" i="2"/>
  <c r="M8" i="2"/>
  <c r="M11" i="2"/>
  <c r="Q11" i="2"/>
  <c r="O11" i="2"/>
  <c r="O12" i="2"/>
  <c r="M12" i="2"/>
  <c r="Q12" i="2"/>
  <c r="O14" i="2"/>
  <c r="M14" i="2"/>
  <c r="Q14" i="2"/>
  <c r="O13" i="2"/>
  <c r="M13" i="2"/>
  <c r="Q13" i="2"/>
  <c r="M9" i="2"/>
  <c r="Q9" i="2"/>
  <c r="O9" i="2"/>
  <c r="K10" i="2"/>
  <c r="I10" i="2"/>
  <c r="K11" i="2"/>
  <c r="I11" i="2"/>
  <c r="I14" i="2"/>
  <c r="K14" i="2"/>
  <c r="J8" i="2"/>
  <c r="K8" i="2"/>
  <c r="I8" i="2"/>
  <c r="K9" i="2"/>
  <c r="I9" i="2"/>
  <c r="K12" i="2"/>
  <c r="I12" i="2"/>
  <c r="I13" i="2"/>
  <c r="K13" i="2"/>
  <c r="R9" i="2"/>
  <c r="J13" i="2"/>
  <c r="E12" i="2"/>
  <c r="N12" i="2"/>
  <c r="P12" i="2"/>
  <c r="D12" i="2"/>
  <c r="E8" i="2"/>
  <c r="D8" i="2"/>
  <c r="P9" i="2"/>
  <c r="L13" i="2"/>
  <c r="F13" i="2"/>
  <c r="N13" i="2"/>
  <c r="G13" i="2"/>
  <c r="L8" i="2"/>
  <c r="G8" i="2"/>
  <c r="H8" i="2"/>
  <c r="J9" i="2"/>
  <c r="E9" i="2"/>
  <c r="G9" i="2"/>
  <c r="H9" i="2"/>
  <c r="C9" i="2"/>
  <c r="F9" i="2"/>
  <c r="D9" i="2"/>
  <c r="B9" i="2"/>
  <c r="J12" i="2"/>
  <c r="F12" i="2"/>
  <c r="G12" i="2"/>
  <c r="H12" i="2"/>
  <c r="D14" i="2"/>
  <c r="C14" i="2"/>
  <c r="F14" i="2"/>
  <c r="P14" i="2"/>
  <c r="L14" i="2"/>
  <c r="R14" i="2"/>
  <c r="J14" i="2"/>
  <c r="N14" i="2"/>
  <c r="B14" i="2"/>
  <c r="E14" i="2"/>
  <c r="H14" i="2"/>
  <c r="G14" i="2"/>
  <c r="E13" i="2"/>
  <c r="R13" i="2"/>
  <c r="D13" i="2"/>
  <c r="B13" i="2"/>
  <c r="C13" i="2"/>
  <c r="D10" i="2"/>
  <c r="C10" i="2"/>
  <c r="F10" i="2"/>
  <c r="P10" i="2"/>
  <c r="B10" i="2"/>
  <c r="G10" i="2"/>
  <c r="L10" i="2"/>
  <c r="R10" i="2"/>
  <c r="J10" i="2"/>
  <c r="N10" i="2"/>
  <c r="E10" i="2"/>
  <c r="H10" i="2"/>
  <c r="G11" i="2"/>
  <c r="F11" i="2"/>
  <c r="J11" i="2"/>
  <c r="P11" i="2"/>
  <c r="D11" i="2"/>
  <c r="C11" i="2"/>
  <c r="B11" i="2"/>
  <c r="E11" i="2"/>
  <c r="H11" i="2"/>
  <c r="N11" i="2"/>
  <c r="L11" i="2"/>
  <c r="R11" i="2"/>
  <c r="B8" i="2"/>
  <c r="L9" i="2"/>
  <c r="P8" i="2"/>
  <c r="B12" i="2"/>
  <c r="F8" i="2"/>
  <c r="N8" i="2"/>
  <c r="N9" i="2"/>
  <c r="H13" i="2"/>
  <c r="R12" i="2"/>
  <c r="C12" i="2"/>
  <c r="C8" i="2"/>
  <c r="P13" i="2"/>
  <c r="L12" i="2"/>
</calcChain>
</file>

<file path=xl/sharedStrings.xml><?xml version="1.0" encoding="utf-8"?>
<sst xmlns="http://schemas.openxmlformats.org/spreadsheetml/2006/main" count="25" uniqueCount="25">
  <si>
    <t>Экспонент</t>
  </si>
  <si>
    <t>Высота радиатора</t>
  </si>
  <si>
    <t>Длина радиатора</t>
  </si>
  <si>
    <t>t°С обратной линии</t>
  </si>
  <si>
    <t>t°С в помещении</t>
  </si>
  <si>
    <r>
      <t>t</t>
    </r>
    <r>
      <rPr>
        <i/>
        <sz val="11"/>
        <rFont val="Times New Roman"/>
        <family val="1"/>
        <charset val="204"/>
      </rPr>
      <t>°</t>
    </r>
    <r>
      <rPr>
        <i/>
        <sz val="11"/>
        <rFont val="Calibri"/>
        <family val="2"/>
        <charset val="204"/>
      </rPr>
      <t>С</t>
    </r>
    <r>
      <rPr>
        <i/>
        <sz val="11"/>
        <rFont val="Calibri"/>
        <family val="2"/>
        <charset val="204"/>
        <scheme val="minor"/>
      </rPr>
      <t xml:space="preserve"> подающей линии</t>
    </r>
  </si>
  <si>
    <t xml:space="preserve">Высота прибора </t>
  </si>
  <si>
    <t>Тип прибора</t>
  </si>
  <si>
    <t>Температурный график</t>
  </si>
  <si>
    <t>Напор</t>
  </si>
  <si>
    <t>95/85/20</t>
  </si>
  <si>
    <t>300 мм</t>
  </si>
  <si>
    <t>400 мм</t>
  </si>
  <si>
    <t>500 мм</t>
  </si>
  <si>
    <t>600 мм</t>
  </si>
  <si>
    <t>900 мм</t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</si>
  <si>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для типа 10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</si>
  <si>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11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</si>
  <si>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</si>
  <si>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21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</si>
  <si>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22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</si>
  <si>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30</t>
    </r>
  </si>
  <si>
    <r>
      <t>Q</t>
    </r>
    <r>
      <rPr>
        <i/>
        <vertAlign val="subscript"/>
        <sz val="11"/>
        <rFont val="Calibri"/>
        <family val="2"/>
        <charset val="204"/>
        <scheme val="minor"/>
      </rPr>
      <t>ну</t>
    </r>
    <r>
      <rPr>
        <i/>
        <sz val="11"/>
        <rFont val="Calibri"/>
        <family val="2"/>
        <charset val="204"/>
        <scheme val="minor"/>
      </rPr>
      <t xml:space="preserve">  для типа 33</t>
    </r>
  </si>
  <si>
    <t xml:space="preserve">Мощность радиаторов расчитана согласно ГОСТ 31311-2022 для температурного графика 95/85/20°С, температурный напор 70°С </t>
  </si>
  <si>
    <t>* Тепловая мощность по ГОСТ 31311-2022 (НИИ Витатерм 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</si>
</sst>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\В\т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i/>
      <sz val="1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color theme="3" tint="-0.249977111117893"/>
      <name val="Calibri"/>
      <family val="2"/>
      <charset val="204"/>
      <scheme val="minor"/>
    </font>
    <font>
      <i/>
      <vertAlign val="subscript"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164" fontId="3" fillId="5" borderId="10" xfId="0" applyNumberFormat="1" applyFont="1" applyFill="1" applyBorder="1" applyAlignment="1">
      <alignment vertical="center"/>
    </xf>
    <xf numFmtId="164" fontId="3" fillId="5" borderId="11" xfId="0" applyNumberFormat="1" applyFont="1" applyFill="1" applyBorder="1" applyAlignment="1">
      <alignment vertical="center"/>
    </xf>
    <xf numFmtId="164" fontId="3" fillId="5" borderId="12" xfId="0" applyNumberFormat="1" applyFont="1" applyFill="1" applyBorder="1" applyAlignment="1">
      <alignment vertical="center"/>
    </xf>
    <xf numFmtId="164" fontId="3" fillId="5" borderId="5" xfId="0" applyNumberFormat="1" applyFont="1" applyFill="1" applyBorder="1" applyAlignment="1">
      <alignment vertical="center"/>
    </xf>
    <xf numFmtId="164" fontId="3" fillId="5" borderId="4" xfId="0" applyNumberFormat="1" applyFont="1" applyFill="1" applyBorder="1" applyAlignment="1">
      <alignment vertical="center"/>
    </xf>
    <xf numFmtId="164" fontId="3" fillId="5" borderId="6" xfId="0" applyNumberFormat="1" applyFont="1" applyFill="1" applyBorder="1" applyAlignment="1">
      <alignment vertical="center"/>
    </xf>
    <xf numFmtId="164" fontId="3" fillId="5" borderId="7" xfId="0" applyNumberFormat="1" applyFont="1" applyFill="1" applyBorder="1" applyAlignment="1">
      <alignment vertical="center"/>
    </xf>
    <xf numFmtId="164" fontId="3" fillId="5" borderId="8" xfId="0" applyNumberFormat="1" applyFont="1" applyFill="1" applyBorder="1" applyAlignment="1">
      <alignment vertical="center"/>
    </xf>
    <xf numFmtId="164" fontId="3" fillId="5" borderId="9" xfId="0" applyNumberFormat="1" applyFont="1" applyFill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5" dropStyle="combo" dx="22" fmlaLink="B4" fmlaRange="Данные!$J$4:$J$8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</xdr:row>
          <xdr:rowOff>22860</xdr:rowOff>
        </xdr:from>
        <xdr:to>
          <xdr:col>1</xdr:col>
          <xdr:colOff>731520</xdr:colOff>
          <xdr:row>3</xdr:row>
          <xdr:rowOff>220980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>
      <selection activeCell="G18" sqref="G18"/>
    </sheetView>
  </sheetViews>
  <sheetFormatPr defaultColWidth="9.109375" defaultRowHeight="14.4" x14ac:dyDescent="0.3"/>
  <cols>
    <col min="1" max="1" width="22.109375" style="1" bestFit="1" customWidth="1"/>
    <col min="2" max="2" width="11.44140625" style="1" customWidth="1"/>
    <col min="3" max="18" width="10.33203125" style="1" customWidth="1"/>
    <col min="19" max="16384" width="9.109375" style="1"/>
  </cols>
  <sheetData>
    <row r="1" spans="1:28" x14ac:dyDescent="0.3">
      <c r="A1" s="21" t="s">
        <v>5</v>
      </c>
      <c r="B1" s="24">
        <v>95</v>
      </c>
    </row>
    <row r="2" spans="1:28" x14ac:dyDescent="0.3">
      <c r="A2" s="22" t="s">
        <v>3</v>
      </c>
      <c r="B2" s="25">
        <v>85</v>
      </c>
      <c r="C2" s="37" t="s">
        <v>23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28" x14ac:dyDescent="0.3">
      <c r="A3" s="22" t="s">
        <v>4</v>
      </c>
      <c r="B3" s="25">
        <v>20</v>
      </c>
    </row>
    <row r="4" spans="1:28" ht="18.75" customHeight="1" thickBot="1" x14ac:dyDescent="0.35">
      <c r="A4" s="23" t="s">
        <v>1</v>
      </c>
      <c r="B4" s="26">
        <v>1</v>
      </c>
    </row>
    <row r="5" spans="1:28" x14ac:dyDescent="0.3">
      <c r="A5" s="2"/>
      <c r="B5" s="6"/>
    </row>
    <row r="6" spans="1:28" x14ac:dyDescent="0.3">
      <c r="A6" s="14"/>
      <c r="B6" s="39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5" thickBot="1" x14ac:dyDescent="0.35">
      <c r="A7" s="13"/>
      <c r="B7" s="7">
        <v>400</v>
      </c>
      <c r="C7" s="8">
        <v>500</v>
      </c>
      <c r="D7" s="8">
        <v>600</v>
      </c>
      <c r="E7" s="8">
        <v>700</v>
      </c>
      <c r="F7" s="8">
        <v>800</v>
      </c>
      <c r="G7" s="8">
        <v>900</v>
      </c>
      <c r="H7" s="8">
        <v>1000</v>
      </c>
      <c r="I7" s="8">
        <v>1100</v>
      </c>
      <c r="J7" s="8">
        <v>1200</v>
      </c>
      <c r="K7" s="8">
        <v>1300</v>
      </c>
      <c r="L7" s="8">
        <v>1400</v>
      </c>
      <c r="M7" s="8">
        <v>1500</v>
      </c>
      <c r="N7" s="8">
        <v>1600</v>
      </c>
      <c r="O7" s="8">
        <v>1700</v>
      </c>
      <c r="P7" s="8">
        <v>1800</v>
      </c>
      <c r="Q7" s="36">
        <v>1900</v>
      </c>
      <c r="R7" s="36">
        <v>2000</v>
      </c>
      <c r="S7" s="36">
        <v>2100</v>
      </c>
      <c r="T7" s="36">
        <v>2200</v>
      </c>
      <c r="U7" s="36">
        <v>2300</v>
      </c>
      <c r="V7" s="36">
        <v>2400</v>
      </c>
      <c r="W7" s="36">
        <v>2500</v>
      </c>
      <c r="X7" s="36">
        <v>2600</v>
      </c>
      <c r="Y7" s="36">
        <v>2700</v>
      </c>
      <c r="Z7" s="36">
        <v>2800</v>
      </c>
      <c r="AA7" s="36">
        <v>2900</v>
      </c>
      <c r="AB7" s="9">
        <v>3000</v>
      </c>
    </row>
    <row r="8" spans="1:28" ht="27" customHeight="1" x14ac:dyDescent="0.3">
      <c r="A8" s="10" t="s">
        <v>16</v>
      </c>
      <c r="B8" s="27">
        <f>IF($B$4=1,Данные!$E3*(B$7/1000),IF($B$4=2,Данные!$E10*(B$7/1000),IF($B$4=3,Данные!$E17*(B$7/1000),IF($B$4=4,Данные!$E24*(B$7/1000),IF($B$4=5,Данные!$E31*(B$7/1000),0)))))</f>
        <v>224.8</v>
      </c>
      <c r="C8" s="28">
        <f>IF($B$4=1,Данные!$E3*(C$7/1000),IF($B$4=2,Данные!$E10*(C$7/1000),IF($B$4=3,Данные!$E17*(C$7/1000),IF($B$4=4,Данные!$E24*(C$7/1000),IF($B$4=5,Данные!$E31*(C$7/1000),0)))))</f>
        <v>281</v>
      </c>
      <c r="D8" s="28">
        <f>IF($B$4=1,Данные!$E3*(D$7/1000),IF($B$4=2,Данные!$E10*(D$7/1000),IF($B$4=3,Данные!$E17*(D$7/1000),IF($B$4=4,Данные!$E24*(D$7/1000),IF($B$4=5,Данные!$E31*(D$7/1000),0)))))</f>
        <v>337.2</v>
      </c>
      <c r="E8" s="28">
        <f>IF($B$4=1,Данные!$E3*(E$7/1000),IF($B$4=2,Данные!$E10*(E$7/1000),IF($B$4=3,Данные!$E17*(E$7/1000),IF($B$4=4,Данные!$E24*(E$7/1000),IF($B$4=5,Данные!$E31*(E$7/1000),0)))))</f>
        <v>393.4</v>
      </c>
      <c r="F8" s="28">
        <f>IF($B$4=1,Данные!$E3*(F$7/1000),IF($B$4=2,Данные!$E10*(F$7/1000),IF($B$4=3,Данные!$E17*(F$7/1000),IF($B$4=4,Данные!$E24*(F$7/1000),IF($B$4=5,Данные!$E31*(F$7/1000),0)))))</f>
        <v>449.6</v>
      </c>
      <c r="G8" s="28">
        <f>IF($B$4=1,Данные!$E3*(G$7/1000),IF($B$4=2,Данные!$E10*(G$7/1000),IF($B$4=3,Данные!$E17*(G$7/1000),IF($B$4=4,Данные!$E24*(G$7/1000),IF($B$4=5,Данные!$E31*(G$7/1000),0)))))</f>
        <v>505.8</v>
      </c>
      <c r="H8" s="28">
        <f>IF($B$4=1,Данные!$E3*(H$7/1000),IF($B$4=2,Данные!$E10*(H$7/1000),IF($B$4=3,Данные!$E17*(H$7/1000),IF($B$4=4,Данные!$E24*(H$7/1000),IF($B$4=5,Данные!$E31*(H$7/1000),0)))))</f>
        <v>562</v>
      </c>
      <c r="I8" s="28">
        <f>IF($B$4=1,Данные!$E3*(I$7/1000),IF($B$4=2,Данные!$E10*(I$7/1000),IF($B$4=3,Данные!$E17*(I$7/1000),IF($B$4=4,Данные!$E24*(I$7/1000),IF($B$4=5,Данные!$E31*(I$7/1000),0)))))</f>
        <v>618.20000000000005</v>
      </c>
      <c r="J8" s="28">
        <f>IF($B$4=1,Данные!$E3*(J$7/1000),IF($B$4=2,Данные!$E10*(J$7/1000),IF($B$4=3,Данные!$E17*(J$7/1000),IF($B$4=4,Данные!$E24*(J$7/1000),IF($B$4=5,Данные!$E31*(J$7/1000),0)))))</f>
        <v>674.4</v>
      </c>
      <c r="K8" s="28">
        <f>IF($B$4=1,Данные!$E3*(K$7/1000),IF($B$4=2,Данные!$E10*(K$7/1000),IF($B$4=3,Данные!$E17*(K$7/1000),IF($B$4=4,Данные!$E24*(K$7/1000),IF($B$4=5,Данные!$E31*(K$7/1000),0)))))</f>
        <v>730.6</v>
      </c>
      <c r="L8" s="28">
        <f>IF($B$4=1,Данные!$E3*(L$7/1000),IF($B$4=2,Данные!$E10*(L$7/1000),IF($B$4=3,Данные!$E17*(L$7/1000),IF($B$4=4,Данные!$E24*(L$7/1000),IF($B$4=5,Данные!$E31*(L$7/1000),0)))))</f>
        <v>786.8</v>
      </c>
      <c r="M8" s="28">
        <f>IF($B$4=1,Данные!$E3*(M$7/1000),IF($B$4=2,Данные!$E10*(M$7/1000),IF($B$4=3,Данные!$E17*(M$7/1000),IF($B$4=4,Данные!$E24*(M$7/1000),IF($B$4=5,Данные!$E31*(M$7/1000),0)))))</f>
        <v>843</v>
      </c>
      <c r="N8" s="28">
        <f>IF($B$4=1,Данные!$E3*(N$7/1000),IF($B$4=2,Данные!$E10*(N$7/1000),IF($B$4=3,Данные!$E17*(N$7/1000),IF($B$4=4,Данные!$E24*(N$7/1000),IF($B$4=5,Данные!$E31*(N$7/1000),0)))))</f>
        <v>899.2</v>
      </c>
      <c r="O8" s="28">
        <f>IF($B$4=1,Данные!$E3*(O$7/1000),IF($B$4=2,Данные!$E10*(O$7/1000),IF($B$4=3,Данные!$E17*(O$7/1000),IF($B$4=4,Данные!$E24*(O$7/1000),IF($B$4=5,Данные!$E31*(O$7/1000),0)))))</f>
        <v>955.4</v>
      </c>
      <c r="P8" s="28">
        <f>IF($B$4=1,Данные!$E3*(P$7/1000),IF($B$4=2,Данные!$E10*(P$7/1000),IF($B$4=3,Данные!$E17*(P$7/1000),IF($B$4=4,Данные!$E24*(P$7/1000),IF($B$4=5,Данные!$E31*(P$7/1000),0)))))</f>
        <v>1011.6</v>
      </c>
      <c r="Q8" s="28">
        <f>IF($B$4=1,Данные!$E3*(Q$7/1000),IF($B$4=2,Данные!$E10*(Q$7/1000),IF($B$4=3,Данные!$E17*(Q$7/1000),IF($B$4=4,Данные!$E24*(Q$7/1000),IF($B$4=5,Данные!$E31*(Q$7/1000),0)))))</f>
        <v>1067.8</v>
      </c>
      <c r="R8" s="28">
        <f>IF($B$4=1,Данные!$E3*(R$7/1000),IF($B$4=2,Данные!$E10*(R$7/1000),IF($B$4=3,Данные!$E17*(R$7/1000),IF($B$4=4,Данные!$E24*(R$7/1000),IF($B$4=5,Данные!$E31*(R$7/1000),0)))))</f>
        <v>1124</v>
      </c>
      <c r="S8" s="28">
        <f>IF($B$4=1,Данные!$E3*(S$7/1000),IF($B$4=2,Данные!$E10*(S$7/1000),IF($B$4=3,Данные!$E17*(S$7/1000),IF($B$4=4,Данные!$E24*(S$7/1000),IF($B$4=5,Данные!$E31*(S$7/1000),0)))))</f>
        <v>1180.2</v>
      </c>
      <c r="T8" s="28">
        <f>IF($B$4=1,Данные!$E3*(T$7/1000),IF($B$4=2,Данные!$E10*(T$7/1000),IF($B$4=3,Данные!$E17*(T$7/1000),IF($B$4=4,Данные!$E24*(T$7/1000),IF($B$4=5,Данные!$E31*(T$7/1000),0)))))</f>
        <v>1236.4000000000001</v>
      </c>
      <c r="U8" s="28">
        <f>IF($B$4=1,Данные!$E3*(U$7/1000),IF($B$4=2,Данные!$E10*(U$7/1000),IF($B$4=3,Данные!$E17*(U$7/1000),IF($B$4=4,Данные!$E24*(U$7/1000),IF($B$4=5,Данные!$E31*(U$7/1000),0)))))</f>
        <v>1292.5999999999999</v>
      </c>
      <c r="V8" s="28">
        <f>IF($B$4=1,Данные!$E3*(V$7/1000),IF($B$4=2,Данные!$E10*(V$7/1000),IF($B$4=3,Данные!$E17*(V$7/1000),IF($B$4=4,Данные!$E24*(V$7/1000),IF($B$4=5,Данные!$E31*(V$7/1000),0)))))</f>
        <v>1348.8</v>
      </c>
      <c r="W8" s="28">
        <f>IF($B$4=1,Данные!$E3*(W$7/1000),IF($B$4=2,Данные!$E10*(W$7/1000),IF($B$4=3,Данные!$E17*(W$7/1000),IF($B$4=4,Данные!$E24*(W$7/1000),IF($B$4=5,Данные!$E31*(W$7/1000),0)))))</f>
        <v>1405</v>
      </c>
      <c r="X8" s="28">
        <f>IF($B$4=1,Данные!$E3*(X$7/1000),IF($B$4=2,Данные!$E10*(X$7/1000),IF($B$4=3,Данные!$E17*(X$7/1000),IF($B$4=4,Данные!$E24*(X$7/1000),IF($B$4=5,Данные!$E31*(X$7/1000),0)))))</f>
        <v>1461.2</v>
      </c>
      <c r="Y8" s="28">
        <f>IF($B$4=1,Данные!$E3*(Y$7/1000),IF($B$4=2,Данные!$E10*(Y$7/1000),IF($B$4=3,Данные!$E17*(Y$7/1000),IF($B$4=4,Данные!$E24*(Y$7/1000),IF($B$4=5,Данные!$E31*(Y$7/1000),0)))))</f>
        <v>1517.4</v>
      </c>
      <c r="Z8" s="28">
        <f>IF($B$4=1,Данные!$E3*(Z$7/1000),IF($B$4=2,Данные!$E10*(Z$7/1000),IF($B$4=3,Данные!$E17*(Z$7/1000),IF($B$4=4,Данные!$E24*(Z$7/1000),IF($B$4=5,Данные!$E31*(Z$7/1000),0)))))</f>
        <v>1573.6</v>
      </c>
      <c r="AA8" s="28">
        <f>IF($B$4=1,Данные!$E3*(AA$7/1000),IF($B$4=2,Данные!$E10*(AA$7/1000),IF($B$4=3,Данные!$E17*(AA$7/1000),IF($B$4=4,Данные!$E24*(AA$7/1000),IF($B$4=5,Данные!$E31*(AA$7/1000),0)))))</f>
        <v>1629.8</v>
      </c>
      <c r="AB8" s="29">
        <f>IF($B$4=1,Данные!$E3*(AB$7/1000),IF($B$4=2,Данные!$E10*(AB$7/1000),IF($B$4=3,Данные!$E17*(AB$7/1000),IF($B$4=4,Данные!$E24*(AB$7/1000),IF($B$4=5,Данные!$E31*(AB$7/1000),0)))))</f>
        <v>1686</v>
      </c>
    </row>
    <row r="9" spans="1:28" ht="27" customHeight="1" x14ac:dyDescent="0.3">
      <c r="A9" s="11" t="s">
        <v>17</v>
      </c>
      <c r="B9" s="30">
        <f>IF($B$4=1,Данные!$E4*(B$7/1000),IF($B$4=2,Данные!$E11*(B$7/1000),IF($B$4=3,Данные!$E18*(B$7/1000),IF($B$4=4,Данные!$E25*(B$7/1000),IF($B$4=5,Данные!$E32*(B$7/1000),0)))))</f>
        <v>319.20000000000005</v>
      </c>
      <c r="C9" s="31">
        <f>IF($B$4=1,Данные!$E4*(C$7/1000),IF($B$4=2,Данные!$E11*(C$7/1000),IF($B$4=3,Данные!$E18*(C$7/1000),IF($B$4=4,Данные!$E25*(C$7/1000),IF($B$4=5,Данные!$E32*(C$7/1000),0)))))</f>
        <v>399</v>
      </c>
      <c r="D9" s="31">
        <f>IF($B$4=1,Данные!$E4*(D$7/1000),IF($B$4=2,Данные!$E11*(D$7/1000),IF($B$4=3,Данные!$E18*(D$7/1000),IF($B$4=4,Данные!$E25*(D$7/1000),IF($B$4=5,Данные!$E32*(D$7/1000),0)))))</f>
        <v>478.79999999999995</v>
      </c>
      <c r="E9" s="31">
        <f>IF($B$4=1,Данные!$E4*(E$7/1000),IF($B$4=2,Данные!$E11*(E$7/1000),IF($B$4=3,Данные!$E18*(E$7/1000),IF($B$4=4,Данные!$E25*(E$7/1000),IF($B$4=5,Данные!$E32*(E$7/1000),0)))))</f>
        <v>558.59999999999991</v>
      </c>
      <c r="F9" s="31">
        <f>IF($B$4=1,Данные!$E4*(F$7/1000),IF($B$4=2,Данные!$E11*(F$7/1000),IF($B$4=3,Данные!$E18*(F$7/1000),IF($B$4=4,Данные!$E25*(F$7/1000),IF($B$4=5,Данные!$E32*(F$7/1000),0)))))</f>
        <v>638.40000000000009</v>
      </c>
      <c r="G9" s="31">
        <f>IF($B$4=1,Данные!$E4*(G$7/1000),IF($B$4=2,Данные!$E11*(G$7/1000),IF($B$4=3,Данные!$E18*(G$7/1000),IF($B$4=4,Данные!$E25*(G$7/1000),IF($B$4=5,Данные!$E32*(G$7/1000),0)))))</f>
        <v>718.2</v>
      </c>
      <c r="H9" s="31">
        <f>IF($B$4=1,Данные!$E4*(H$7/1000),IF($B$4=2,Данные!$E11*(H$7/1000),IF($B$4=3,Данные!$E18*(H$7/1000),IF($B$4=4,Данные!$E25*(H$7/1000),IF($B$4=5,Данные!$E32*(H$7/1000),0)))))</f>
        <v>798</v>
      </c>
      <c r="I9" s="31">
        <f>IF($B$4=1,Данные!$E4*(I$7/1000),IF($B$4=2,Данные!$E11*(I$7/1000),IF($B$4=3,Данные!$E18*(I$7/1000),IF($B$4=4,Данные!$E25*(I$7/1000),IF($B$4=5,Данные!$E32*(I$7/1000),0)))))</f>
        <v>877.80000000000007</v>
      </c>
      <c r="J9" s="31">
        <f>IF($B$4=1,Данные!$E4*(J$7/1000),IF($B$4=2,Данные!$E11*(J$7/1000),IF($B$4=3,Данные!$E18*(J$7/1000),IF($B$4=4,Данные!$E25*(J$7/1000),IF($B$4=5,Данные!$E32*(J$7/1000),0)))))</f>
        <v>957.59999999999991</v>
      </c>
      <c r="K9" s="31">
        <f>IF($B$4=1,Данные!$E4*(K$7/1000),IF($B$4=2,Данные!$E11*(K$7/1000),IF($B$4=3,Данные!$E18*(K$7/1000),IF($B$4=4,Данные!$E25*(K$7/1000),IF($B$4=5,Данные!$E32*(K$7/1000),0)))))</f>
        <v>1037.4000000000001</v>
      </c>
      <c r="L9" s="31">
        <f>IF($B$4=1,Данные!$E4*(L$7/1000),IF($B$4=2,Данные!$E11*(L$7/1000),IF($B$4=3,Данные!$E18*(L$7/1000),IF($B$4=4,Данные!$E25*(L$7/1000),IF($B$4=5,Данные!$E32*(L$7/1000),0)))))</f>
        <v>1117.1999999999998</v>
      </c>
      <c r="M9" s="31">
        <f>IF($B$4=1,Данные!$E4*(M$7/1000),IF($B$4=2,Данные!$E11*(M$7/1000),IF($B$4=3,Данные!$E18*(M$7/1000),IF($B$4=4,Данные!$E25*(M$7/1000),IF($B$4=5,Данные!$E32*(M$7/1000),0)))))</f>
        <v>1197</v>
      </c>
      <c r="N9" s="31">
        <f>IF($B$4=1,Данные!$E4*(N$7/1000),IF($B$4=2,Данные!$E11*(N$7/1000),IF($B$4=3,Данные!$E18*(N$7/1000),IF($B$4=4,Данные!$E25*(N$7/1000),IF($B$4=5,Данные!$E32*(N$7/1000),0)))))</f>
        <v>1276.8000000000002</v>
      </c>
      <c r="O9" s="31">
        <f>IF($B$4=1,Данные!$E4*(O$7/1000),IF($B$4=2,Данные!$E11*(O$7/1000),IF($B$4=3,Данные!$E18*(O$7/1000),IF($B$4=4,Данные!$E25*(O$7/1000),IF($B$4=5,Данные!$E32*(O$7/1000),0)))))</f>
        <v>1356.6</v>
      </c>
      <c r="P9" s="31">
        <f>IF($B$4=1,Данные!$E4*(P$7/1000),IF($B$4=2,Данные!$E11*(P$7/1000),IF($B$4=3,Данные!$E18*(P$7/1000),IF($B$4=4,Данные!$E25*(P$7/1000),IF($B$4=5,Данные!$E32*(P$7/1000),0)))))</f>
        <v>1436.4</v>
      </c>
      <c r="Q9" s="31">
        <f>IF($B$4=1,Данные!$E4*(Q$7/1000),IF($B$4=2,Данные!$E11*(Q$7/1000),IF($B$4=3,Данные!$E18*(Q$7/1000),IF($B$4=4,Данные!$E25*(Q$7/1000),IF($B$4=5,Данные!$E32*(Q$7/1000),0)))))</f>
        <v>1516.1999999999998</v>
      </c>
      <c r="R9" s="31">
        <f>IF($B$4=1,Данные!$E4*(R$7/1000),IF($B$4=2,Данные!$E11*(R$7/1000),IF($B$4=3,Данные!$E18*(R$7/1000),IF($B$4=4,Данные!$E25*(R$7/1000),IF($B$4=5,Данные!$E32*(R$7/1000),0)))))</f>
        <v>1596</v>
      </c>
      <c r="S9" s="31">
        <f>IF($B$4=1,Данные!$E4*(S$7/1000),IF($B$4=2,Данные!$E11*(S$7/1000),IF($B$4=3,Данные!$E18*(S$7/1000),IF($B$4=4,Данные!$E25*(S$7/1000),IF($B$4=5,Данные!$E32*(S$7/1000),0)))))</f>
        <v>1675.8000000000002</v>
      </c>
      <c r="T9" s="31">
        <f>IF($B$4=1,Данные!$E4*(T$7/1000),IF($B$4=2,Данные!$E11*(T$7/1000),IF($B$4=3,Данные!$E18*(T$7/1000),IF($B$4=4,Данные!$E25*(T$7/1000),IF($B$4=5,Данные!$E32*(T$7/1000),0)))))</f>
        <v>1755.6000000000001</v>
      </c>
      <c r="U9" s="31">
        <f>IF($B$4=1,Данные!$E4*(U$7/1000),IF($B$4=2,Данные!$E11*(U$7/1000),IF($B$4=3,Данные!$E18*(U$7/1000),IF($B$4=4,Данные!$E25*(U$7/1000),IF($B$4=5,Данные!$E32*(U$7/1000),0)))))</f>
        <v>1835.3999999999999</v>
      </c>
      <c r="V9" s="31">
        <f>IF($B$4=1,Данные!$E4*(V$7/1000),IF($B$4=2,Данные!$E11*(V$7/1000),IF($B$4=3,Данные!$E18*(V$7/1000),IF($B$4=4,Данные!$E25*(V$7/1000),IF($B$4=5,Данные!$E32*(V$7/1000),0)))))</f>
        <v>1915.1999999999998</v>
      </c>
      <c r="W9" s="31">
        <f>IF($B$4=1,Данные!$E4*(W$7/1000),IF($B$4=2,Данные!$E11*(W$7/1000),IF($B$4=3,Данные!$E18*(W$7/1000),IF($B$4=4,Данные!$E25*(W$7/1000),IF($B$4=5,Данные!$E32*(W$7/1000),0)))))</f>
        <v>1995</v>
      </c>
      <c r="X9" s="31">
        <f>IF($B$4=1,Данные!$E4*(X$7/1000),IF($B$4=2,Данные!$E11*(X$7/1000),IF($B$4=3,Данные!$E18*(X$7/1000),IF($B$4=4,Данные!$E25*(X$7/1000),IF($B$4=5,Данные!$E32*(X$7/1000),0)))))</f>
        <v>2074.8000000000002</v>
      </c>
      <c r="Y9" s="31">
        <f>IF($B$4=1,Данные!$E4*(Y$7/1000),IF($B$4=2,Данные!$E11*(Y$7/1000),IF($B$4=3,Данные!$E18*(Y$7/1000),IF($B$4=4,Данные!$E25*(Y$7/1000),IF($B$4=5,Данные!$E32*(Y$7/1000),0)))))</f>
        <v>2154.6000000000004</v>
      </c>
      <c r="Z9" s="31">
        <f>IF($B$4=1,Данные!$E4*(Z$7/1000),IF($B$4=2,Данные!$E11*(Z$7/1000),IF($B$4=3,Данные!$E18*(Z$7/1000),IF($B$4=4,Данные!$E25*(Z$7/1000),IF($B$4=5,Данные!$E32*(Z$7/1000),0)))))</f>
        <v>2234.3999999999996</v>
      </c>
      <c r="AA9" s="31">
        <f>IF($B$4=1,Данные!$E4*(AA$7/1000),IF($B$4=2,Данные!$E11*(AA$7/1000),IF($B$4=3,Данные!$E18*(AA$7/1000),IF($B$4=4,Данные!$E25*(AA$7/1000),IF($B$4=5,Данные!$E32*(AA$7/1000),0)))))</f>
        <v>2314.1999999999998</v>
      </c>
      <c r="AB9" s="32">
        <f>IF($B$4=1,Данные!$E4*(AB$7/1000),IF($B$4=2,Данные!$E11*(AB$7/1000),IF($B$4=3,Данные!$E18*(AB$7/1000),IF($B$4=4,Данные!$E25*(AB$7/1000),IF($B$4=5,Данные!$E32*(AB$7/1000),0)))))</f>
        <v>2394</v>
      </c>
    </row>
    <row r="10" spans="1:28" ht="27" customHeight="1" x14ac:dyDescent="0.3">
      <c r="A10" s="11" t="s">
        <v>18</v>
      </c>
      <c r="B10" s="30">
        <f>IF($B$4=1,Данные!$E5*(B$7/1000),IF($B$4=2,Данные!$E12*(B$7/1000),IF($B$4=3,Данные!$E19*(B$7/1000),IF($B$4=4,Данные!$E26*(B$7/1000),IF($B$4=5,Данные!$E33*(B$7/1000),0)))))</f>
        <v>368.8</v>
      </c>
      <c r="C10" s="31">
        <f>IF($B$4=1,Данные!$E5*(C$7/1000),IF($B$4=2,Данные!$E12*(C$7/1000),IF($B$4=3,Данные!$E19*(C$7/1000),IF($B$4=4,Данные!$E26*(C$7/1000),IF($B$4=5,Данные!$E33*(C$7/1000),0)))))</f>
        <v>461</v>
      </c>
      <c r="D10" s="31">
        <f>IF($B$4=1,Данные!$E5*(D$7/1000),IF($B$4=2,Данные!$E12*(D$7/1000),IF($B$4=3,Данные!$E19*(D$7/1000),IF($B$4=4,Данные!$E26*(D$7/1000),IF($B$4=5,Данные!$E33*(D$7/1000),0)))))</f>
        <v>553.19999999999993</v>
      </c>
      <c r="E10" s="31">
        <f>IF($B$4=1,Данные!$E5*(E$7/1000),IF($B$4=2,Данные!$E12*(E$7/1000),IF($B$4=3,Данные!$E19*(E$7/1000),IF($B$4=4,Данные!$E26*(E$7/1000),IF($B$4=5,Данные!$E33*(E$7/1000),0)))))</f>
        <v>645.4</v>
      </c>
      <c r="F10" s="31">
        <f>IF($B$4=1,Данные!$E5*(F$7/1000),IF($B$4=2,Данные!$E12*(F$7/1000),IF($B$4=3,Данные!$E19*(F$7/1000),IF($B$4=4,Данные!$E26*(F$7/1000),IF($B$4=5,Данные!$E33*(F$7/1000),0)))))</f>
        <v>737.6</v>
      </c>
      <c r="G10" s="31">
        <f>IF($B$4=1,Данные!$E5*(G$7/1000),IF($B$4=2,Данные!$E12*(G$7/1000),IF($B$4=3,Данные!$E19*(G$7/1000),IF($B$4=4,Данные!$E26*(G$7/1000),IF($B$4=5,Данные!$E33*(G$7/1000),0)))))</f>
        <v>829.80000000000007</v>
      </c>
      <c r="H10" s="31">
        <f>IF($B$4=1,Данные!$E5*(H$7/1000),IF($B$4=2,Данные!$E12*(H$7/1000),IF($B$4=3,Данные!$E19*(H$7/1000),IF($B$4=4,Данные!$E26*(H$7/1000),IF($B$4=5,Данные!$E33*(H$7/1000),0)))))</f>
        <v>922</v>
      </c>
      <c r="I10" s="31">
        <f>IF($B$4=1,Данные!$E5*(I$7/1000),IF($B$4=2,Данные!$E12*(I$7/1000),IF($B$4=3,Данные!$E19*(I$7/1000),IF($B$4=4,Данные!$E26*(I$7/1000),IF($B$4=5,Данные!$E33*(I$7/1000),0)))))</f>
        <v>1014.2</v>
      </c>
      <c r="J10" s="31">
        <f>IF($B$4=1,Данные!$E5*(J$7/1000),IF($B$4=2,Данные!$E12*(J$7/1000),IF($B$4=3,Данные!$E19*(J$7/1000),IF($B$4=4,Данные!$E26*(J$7/1000),IF($B$4=5,Данные!$E33*(J$7/1000),0)))))</f>
        <v>1106.3999999999999</v>
      </c>
      <c r="K10" s="31">
        <f>IF($B$4=1,Данные!$E5*(K$7/1000),IF($B$4=2,Данные!$E12*(K$7/1000),IF($B$4=3,Данные!$E19*(K$7/1000),IF($B$4=4,Данные!$E26*(K$7/1000),IF($B$4=5,Данные!$E33*(K$7/1000),0)))))</f>
        <v>1198.6000000000001</v>
      </c>
      <c r="L10" s="31">
        <f>IF($B$4=1,Данные!$E5*(L$7/1000),IF($B$4=2,Данные!$E12*(L$7/1000),IF($B$4=3,Данные!$E19*(L$7/1000),IF($B$4=4,Данные!$E26*(L$7/1000),IF($B$4=5,Данные!$E33*(L$7/1000),0)))))</f>
        <v>1290.8</v>
      </c>
      <c r="M10" s="31">
        <f>IF($B$4=1,Данные!$E5*(M$7/1000),IF($B$4=2,Данные!$E12*(M$7/1000),IF($B$4=3,Данные!$E19*(M$7/1000),IF($B$4=4,Данные!$E26*(M$7/1000),IF($B$4=5,Данные!$E33*(M$7/1000),0)))))</f>
        <v>1383</v>
      </c>
      <c r="N10" s="31">
        <f>IF($B$4=1,Данные!$E5*(N$7/1000),IF($B$4=2,Данные!$E12*(N$7/1000),IF($B$4=3,Данные!$E19*(N$7/1000),IF($B$4=4,Данные!$E26*(N$7/1000),IF($B$4=5,Данные!$E33*(N$7/1000),0)))))</f>
        <v>1475.2</v>
      </c>
      <c r="O10" s="31">
        <f>IF($B$4=1,Данные!$E5*(O$7/1000),IF($B$4=2,Данные!$E12*(O$7/1000),IF($B$4=3,Данные!$E19*(O$7/1000),IF($B$4=4,Данные!$E26*(O$7/1000),IF($B$4=5,Данные!$E33*(O$7/1000),0)))))</f>
        <v>1567.3999999999999</v>
      </c>
      <c r="P10" s="31">
        <f>IF($B$4=1,Данные!$E5*(P$7/1000),IF($B$4=2,Данные!$E12*(P$7/1000),IF($B$4=3,Данные!$E19*(P$7/1000),IF($B$4=4,Данные!$E26*(P$7/1000),IF($B$4=5,Данные!$E33*(P$7/1000),0)))))</f>
        <v>1659.6000000000001</v>
      </c>
      <c r="Q10" s="31">
        <f>IF($B$4=1,Данные!$E5*(Q$7/1000),IF($B$4=2,Данные!$E12*(Q$7/1000),IF($B$4=3,Данные!$E19*(Q$7/1000),IF($B$4=4,Данные!$E26*(Q$7/1000),IF($B$4=5,Данные!$E33*(Q$7/1000),0)))))</f>
        <v>1751.8</v>
      </c>
      <c r="R10" s="31">
        <f>IF($B$4=1,Данные!$E5*(R$7/1000),IF($B$4=2,Данные!$E12*(R$7/1000),IF($B$4=3,Данные!$E19*(R$7/1000),IF($B$4=4,Данные!$E26*(R$7/1000),IF($B$4=5,Данные!$E33*(R$7/1000),0)))))</f>
        <v>1844</v>
      </c>
      <c r="S10" s="31">
        <f>IF($B$4=1,Данные!$E5*(S$7/1000),IF($B$4=2,Данные!$E12*(S$7/1000),IF($B$4=3,Данные!$E19*(S$7/1000),IF($B$4=4,Данные!$E26*(S$7/1000),IF($B$4=5,Данные!$E33*(S$7/1000),0)))))</f>
        <v>1936.2</v>
      </c>
      <c r="T10" s="31">
        <f>IF($B$4=1,Данные!$E5*(T$7/1000),IF($B$4=2,Данные!$E12*(T$7/1000),IF($B$4=3,Данные!$E19*(T$7/1000),IF($B$4=4,Данные!$E26*(T$7/1000),IF($B$4=5,Данные!$E33*(T$7/1000),0)))))</f>
        <v>2028.4</v>
      </c>
      <c r="U10" s="31">
        <f>IF($B$4=1,Данные!$E5*(U$7/1000),IF($B$4=2,Данные!$E12*(U$7/1000),IF($B$4=3,Данные!$E19*(U$7/1000),IF($B$4=4,Данные!$E26*(U$7/1000),IF($B$4=5,Данные!$E33*(U$7/1000),0)))))</f>
        <v>2120.6</v>
      </c>
      <c r="V10" s="31">
        <f>IF($B$4=1,Данные!$E5*(V$7/1000),IF($B$4=2,Данные!$E12*(V$7/1000),IF($B$4=3,Данные!$E19*(V$7/1000),IF($B$4=4,Данные!$E26*(V$7/1000),IF($B$4=5,Данные!$E33*(V$7/1000),0)))))</f>
        <v>2212.7999999999997</v>
      </c>
      <c r="W10" s="31">
        <f>IF($B$4=1,Данные!$E5*(W$7/1000),IF($B$4=2,Данные!$E12*(W$7/1000),IF($B$4=3,Данные!$E19*(W$7/1000),IF($B$4=4,Данные!$E26*(W$7/1000),IF($B$4=5,Данные!$E33*(W$7/1000),0)))))</f>
        <v>2305</v>
      </c>
      <c r="X10" s="31">
        <f>IF($B$4=1,Данные!$E5*(X$7/1000),IF($B$4=2,Данные!$E12*(X$7/1000),IF($B$4=3,Данные!$E19*(X$7/1000),IF($B$4=4,Данные!$E26*(X$7/1000),IF($B$4=5,Данные!$E33*(X$7/1000),0)))))</f>
        <v>2397.2000000000003</v>
      </c>
      <c r="Y10" s="31">
        <f>IF($B$4=1,Данные!$E5*(Y$7/1000),IF($B$4=2,Данные!$E12*(Y$7/1000),IF($B$4=3,Данные!$E19*(Y$7/1000),IF($B$4=4,Данные!$E26*(Y$7/1000),IF($B$4=5,Данные!$E33*(Y$7/1000),0)))))</f>
        <v>2489.4</v>
      </c>
      <c r="Z10" s="31">
        <f>IF($B$4=1,Данные!$E5*(Z$7/1000),IF($B$4=2,Данные!$E12*(Z$7/1000),IF($B$4=3,Данные!$E19*(Z$7/1000),IF($B$4=4,Данные!$E26*(Z$7/1000),IF($B$4=5,Данные!$E33*(Z$7/1000),0)))))</f>
        <v>2581.6</v>
      </c>
      <c r="AA10" s="31">
        <f>IF($B$4=1,Данные!$E5*(AA$7/1000),IF($B$4=2,Данные!$E12*(AA$7/1000),IF($B$4=3,Данные!$E19*(AA$7/1000),IF($B$4=4,Данные!$E26*(AA$7/1000),IF($B$4=5,Данные!$E33*(AA$7/1000),0)))))</f>
        <v>2673.7999999999997</v>
      </c>
      <c r="AB10" s="32">
        <f>IF($B$4=1,Данные!$E5*(AB$7/1000),IF($B$4=2,Данные!$E12*(AB$7/1000),IF($B$4=3,Данные!$E19*(AB$7/1000),IF($B$4=4,Данные!$E26*(AB$7/1000),IF($B$4=5,Данные!$E33*(AB$7/1000),0)))))</f>
        <v>2766</v>
      </c>
    </row>
    <row r="11" spans="1:28" ht="27" customHeight="1" x14ac:dyDescent="0.3">
      <c r="A11" s="11" t="s">
        <v>19</v>
      </c>
      <c r="B11" s="30">
        <f>IF($B$4=1,Данные!$E6*(B$7/1000),IF($B$4=2,Данные!$E13*(B$7/1000),IF($B$4=3,Данные!$E20*(B$7/1000),IF($B$4=4,Данные!$E27*(B$7/1000),IF($B$4=5,Данные!$E34*(B$7/1000),0)))))</f>
        <v>457.6</v>
      </c>
      <c r="C11" s="31">
        <f>IF($B$4=1,Данные!$E6*(C$7/1000),IF($B$4=2,Данные!$E13*(C$7/1000),IF($B$4=3,Данные!$E20*(C$7/1000),IF($B$4=4,Данные!$E27*(C$7/1000),IF($B$4=5,Данные!$E34*(C$7/1000),0)))))</f>
        <v>572</v>
      </c>
      <c r="D11" s="31">
        <f>IF($B$4=1,Данные!$E6*(D$7/1000),IF($B$4=2,Данные!$E13*(D$7/1000),IF($B$4=3,Данные!$E20*(D$7/1000),IF($B$4=4,Данные!$E27*(D$7/1000),IF($B$4=5,Данные!$E34*(D$7/1000),0)))))</f>
        <v>686.4</v>
      </c>
      <c r="E11" s="31">
        <f>IF($B$4=1,Данные!$E6*(E$7/1000),IF($B$4=2,Данные!$E13*(E$7/1000),IF($B$4=3,Данные!$E20*(E$7/1000),IF($B$4=4,Данные!$E27*(E$7/1000),IF($B$4=5,Данные!$E34*(E$7/1000),0)))))</f>
        <v>800.8</v>
      </c>
      <c r="F11" s="31">
        <f>IF($B$4=1,Данные!$E6*(F$7/1000),IF($B$4=2,Данные!$E13*(F$7/1000),IF($B$4=3,Данные!$E20*(F$7/1000),IF($B$4=4,Данные!$E27*(F$7/1000),IF($B$4=5,Данные!$E34*(F$7/1000),0)))))</f>
        <v>915.2</v>
      </c>
      <c r="G11" s="31">
        <f>IF($B$4=1,Данные!$E6*(G$7/1000),IF($B$4=2,Данные!$E13*(G$7/1000),IF($B$4=3,Данные!$E20*(G$7/1000),IF($B$4=4,Данные!$E27*(G$7/1000),IF($B$4=5,Данные!$E34*(G$7/1000),0)))))</f>
        <v>1029.6000000000001</v>
      </c>
      <c r="H11" s="31">
        <f>IF($B$4=1,Данные!$E6*(H$7/1000),IF($B$4=2,Данные!$E13*(H$7/1000),IF($B$4=3,Данные!$E20*(H$7/1000),IF($B$4=4,Данные!$E27*(H$7/1000),IF($B$4=5,Данные!$E34*(H$7/1000),0)))))</f>
        <v>1144</v>
      </c>
      <c r="I11" s="31">
        <f>IF($B$4=1,Данные!$E6*(I$7/1000),IF($B$4=2,Данные!$E13*(I$7/1000),IF($B$4=3,Данные!$E20*(I$7/1000),IF($B$4=4,Данные!$E27*(I$7/1000),IF($B$4=5,Данные!$E34*(I$7/1000),0)))))</f>
        <v>1258.4000000000001</v>
      </c>
      <c r="J11" s="31">
        <f>IF($B$4=1,Данные!$E6*(J$7/1000),IF($B$4=2,Данные!$E13*(J$7/1000),IF($B$4=3,Данные!$E20*(J$7/1000),IF($B$4=4,Данные!$E27*(J$7/1000),IF($B$4=5,Данные!$E34*(J$7/1000),0)))))</f>
        <v>1372.8</v>
      </c>
      <c r="K11" s="31">
        <f>IF($B$4=1,Данные!$E6*(K$7/1000),IF($B$4=2,Данные!$E13*(K$7/1000),IF($B$4=3,Данные!$E20*(K$7/1000),IF($B$4=4,Данные!$E27*(K$7/1000),IF($B$4=5,Данные!$E34*(K$7/1000),0)))))</f>
        <v>1487.2</v>
      </c>
      <c r="L11" s="31">
        <f>IF($B$4=1,Данные!$E6*(L$7/1000),IF($B$4=2,Данные!$E13*(L$7/1000),IF($B$4=3,Данные!$E20*(L$7/1000),IF($B$4=4,Данные!$E27*(L$7/1000),IF($B$4=5,Данные!$E34*(L$7/1000),0)))))</f>
        <v>1601.6</v>
      </c>
      <c r="M11" s="31">
        <f>IF($B$4=1,Данные!$E6*(M$7/1000),IF($B$4=2,Данные!$E13*(M$7/1000),IF($B$4=3,Данные!$E20*(M$7/1000),IF($B$4=4,Данные!$E27*(M$7/1000),IF($B$4=5,Данные!$E34*(M$7/1000),0)))))</f>
        <v>1716</v>
      </c>
      <c r="N11" s="31">
        <f>IF($B$4=1,Данные!$E6*(N$7/1000),IF($B$4=2,Данные!$E13*(N$7/1000),IF($B$4=3,Данные!$E20*(N$7/1000),IF($B$4=4,Данные!$E27*(N$7/1000),IF($B$4=5,Данные!$E34*(N$7/1000),0)))))</f>
        <v>1830.4</v>
      </c>
      <c r="O11" s="31">
        <f>IF($B$4=1,Данные!$E6*(O$7/1000),IF($B$4=2,Данные!$E13*(O$7/1000),IF($B$4=3,Данные!$E20*(O$7/1000),IF($B$4=4,Данные!$E27*(O$7/1000),IF($B$4=5,Данные!$E34*(O$7/1000),0)))))</f>
        <v>1944.8</v>
      </c>
      <c r="P11" s="31">
        <f>IF($B$4=1,Данные!$E6*(P$7/1000),IF($B$4=2,Данные!$E13*(P$7/1000),IF($B$4=3,Данные!$E20*(P$7/1000),IF($B$4=4,Данные!$E27*(P$7/1000),IF($B$4=5,Данные!$E34*(P$7/1000),0)))))</f>
        <v>2059.2000000000003</v>
      </c>
      <c r="Q11" s="31">
        <f>IF($B$4=1,Данные!$E6*(Q$7/1000),IF($B$4=2,Данные!$E13*(Q$7/1000),IF($B$4=3,Данные!$E20*(Q$7/1000),IF($B$4=4,Данные!$E27*(Q$7/1000),IF($B$4=5,Данные!$E34*(Q$7/1000),0)))))</f>
        <v>2173.6</v>
      </c>
      <c r="R11" s="31">
        <f>IF($B$4=1,Данные!$E6*(R$7/1000),IF($B$4=2,Данные!$E13*(R$7/1000),IF($B$4=3,Данные!$E20*(R$7/1000),IF($B$4=4,Данные!$E27*(R$7/1000),IF($B$4=5,Данные!$E34*(R$7/1000),0)))))</f>
        <v>2288</v>
      </c>
      <c r="S11" s="31">
        <f>IF($B$4=1,Данные!$E6*(S$7/1000),IF($B$4=2,Данные!$E13*(S$7/1000),IF($B$4=3,Данные!$E20*(S$7/1000),IF($B$4=4,Данные!$E27*(S$7/1000),IF($B$4=5,Данные!$E34*(S$7/1000),0)))))</f>
        <v>2402.4</v>
      </c>
      <c r="T11" s="31">
        <f>IF($B$4=1,Данные!$E6*(T$7/1000),IF($B$4=2,Данные!$E13*(T$7/1000),IF($B$4=3,Данные!$E20*(T$7/1000),IF($B$4=4,Данные!$E27*(T$7/1000),IF($B$4=5,Данные!$E34*(T$7/1000),0)))))</f>
        <v>2516.8000000000002</v>
      </c>
      <c r="U11" s="31">
        <f>IF($B$4=1,Данные!$E6*(U$7/1000),IF($B$4=2,Данные!$E13*(U$7/1000),IF($B$4=3,Данные!$E20*(U$7/1000),IF($B$4=4,Данные!$E27*(U$7/1000),IF($B$4=5,Данные!$E34*(U$7/1000),0)))))</f>
        <v>2631.2</v>
      </c>
      <c r="V11" s="31">
        <f>IF($B$4=1,Данные!$E6*(V$7/1000),IF($B$4=2,Данные!$E13*(V$7/1000),IF($B$4=3,Данные!$E20*(V$7/1000),IF($B$4=4,Данные!$E27*(V$7/1000),IF($B$4=5,Данные!$E34*(V$7/1000),0)))))</f>
        <v>2745.6</v>
      </c>
      <c r="W11" s="31">
        <f>IF($B$4=1,Данные!$E6*(W$7/1000),IF($B$4=2,Данные!$E13*(W$7/1000),IF($B$4=3,Данные!$E20*(W$7/1000),IF($B$4=4,Данные!$E27*(W$7/1000),IF($B$4=5,Данные!$E34*(W$7/1000),0)))))</f>
        <v>2860</v>
      </c>
      <c r="X11" s="31">
        <f>IF($B$4=1,Данные!$E6*(X$7/1000),IF($B$4=2,Данные!$E13*(X$7/1000),IF($B$4=3,Данные!$E20*(X$7/1000),IF($B$4=4,Данные!$E27*(X$7/1000),IF($B$4=5,Данные!$E34*(X$7/1000),0)))))</f>
        <v>2974.4</v>
      </c>
      <c r="Y11" s="31">
        <f>IF($B$4=1,Данные!$E6*(Y$7/1000),IF($B$4=2,Данные!$E13*(Y$7/1000),IF($B$4=3,Данные!$E20*(Y$7/1000),IF($B$4=4,Данные!$E27*(Y$7/1000),IF($B$4=5,Данные!$E34*(Y$7/1000),0)))))</f>
        <v>3088.8</v>
      </c>
      <c r="Z11" s="31">
        <f>IF($B$4=1,Данные!$E6*(Z$7/1000),IF($B$4=2,Данные!$E13*(Z$7/1000),IF($B$4=3,Данные!$E20*(Z$7/1000),IF($B$4=4,Данные!$E27*(Z$7/1000),IF($B$4=5,Данные!$E34*(Z$7/1000),0)))))</f>
        <v>3203.2</v>
      </c>
      <c r="AA11" s="31">
        <f>IF($B$4=1,Данные!$E6*(AA$7/1000),IF($B$4=2,Данные!$E13*(AA$7/1000),IF($B$4=3,Данные!$E20*(AA$7/1000),IF($B$4=4,Данные!$E27*(AA$7/1000),IF($B$4=5,Данные!$E34*(AA$7/1000),0)))))</f>
        <v>3317.6</v>
      </c>
      <c r="AB11" s="32">
        <f>IF($B$4=1,Данные!$E6*(AB$7/1000),IF($B$4=2,Данные!$E13*(AB$7/1000),IF($B$4=3,Данные!$E20*(AB$7/1000),IF($B$4=4,Данные!$E27*(AB$7/1000),IF($B$4=5,Данные!$E34*(AB$7/1000),0)))))</f>
        <v>3432</v>
      </c>
    </row>
    <row r="12" spans="1:28" ht="27" customHeight="1" x14ac:dyDescent="0.3">
      <c r="A12" s="11" t="s">
        <v>20</v>
      </c>
      <c r="B12" s="30">
        <f>IF($B$4=1,Данные!$E7*(B$7/1000),IF($B$4=2,Данные!$E14*(B$7/1000),IF($B$4=3,Данные!$E21*(B$7/1000),IF($B$4=4,Данные!$E28*(B$7/1000),IF($B$4=5,Данные!$E35*(B$7/1000),0)))))</f>
        <v>610.4</v>
      </c>
      <c r="C12" s="31">
        <f>IF($B$4=1,Данные!$E7*(C$7/1000),IF($B$4=2,Данные!$E14*(C$7/1000),IF($B$4=3,Данные!$E21*(C$7/1000),IF($B$4=4,Данные!$E28*(C$7/1000),IF($B$4=5,Данные!$E35*(C$7/1000),0)))))</f>
        <v>763</v>
      </c>
      <c r="D12" s="31">
        <f>IF($B$4=1,Данные!$E7*(D$7/1000),IF($B$4=2,Данные!$E14*(D$7/1000),IF($B$4=3,Данные!$E21*(D$7/1000),IF($B$4=4,Данные!$E28*(D$7/1000),IF($B$4=5,Данные!$E35*(D$7/1000),0)))))</f>
        <v>915.6</v>
      </c>
      <c r="E12" s="31">
        <f>IF($B$4=1,Данные!$E7*(E$7/1000),IF($B$4=2,Данные!$E14*(E$7/1000),IF($B$4=3,Данные!$E21*(E$7/1000),IF($B$4=4,Данные!$E28*(E$7/1000),IF($B$4=5,Данные!$E35*(E$7/1000),0)))))</f>
        <v>1068.2</v>
      </c>
      <c r="F12" s="31">
        <f>IF($B$4=1,Данные!$E7*(F$7/1000),IF($B$4=2,Данные!$E14*(F$7/1000),IF($B$4=3,Данные!$E21*(F$7/1000),IF($B$4=4,Данные!$E28*(F$7/1000),IF($B$4=5,Данные!$E35*(F$7/1000),0)))))</f>
        <v>1220.8</v>
      </c>
      <c r="G12" s="31">
        <f>IF($B$4=1,Данные!$E7*(G$7/1000),IF($B$4=2,Данные!$E14*(G$7/1000),IF($B$4=3,Данные!$E21*(G$7/1000),IF($B$4=4,Данные!$E28*(G$7/1000),IF($B$4=5,Данные!$E35*(G$7/1000),0)))))</f>
        <v>1373.4</v>
      </c>
      <c r="H12" s="31">
        <f>IF($B$4=1,Данные!$E7*(H$7/1000),IF($B$4=2,Данные!$E14*(H$7/1000),IF($B$4=3,Данные!$E21*(H$7/1000),IF($B$4=4,Данные!$E28*(H$7/1000),IF($B$4=5,Данные!$E35*(H$7/1000),0)))))</f>
        <v>1526</v>
      </c>
      <c r="I12" s="31">
        <f>IF($B$4=1,Данные!$E7*(I$7/1000),IF($B$4=2,Данные!$E14*(I$7/1000),IF($B$4=3,Данные!$E21*(I$7/1000),IF($B$4=4,Данные!$E28*(I$7/1000),IF($B$4=5,Данные!$E35*(I$7/1000),0)))))</f>
        <v>1678.6000000000001</v>
      </c>
      <c r="J12" s="31">
        <f>IF($B$4=1,Данные!$E7*(J$7/1000),IF($B$4=2,Данные!$E14*(J$7/1000),IF($B$4=3,Данные!$E21*(J$7/1000),IF($B$4=4,Данные!$E28*(J$7/1000),IF($B$4=5,Данные!$E35*(J$7/1000),0)))))</f>
        <v>1831.2</v>
      </c>
      <c r="K12" s="31">
        <f>IF($B$4=1,Данные!$E7*(K$7/1000),IF($B$4=2,Данные!$E14*(K$7/1000),IF($B$4=3,Данные!$E21*(K$7/1000),IF($B$4=4,Данные!$E28*(K$7/1000),IF($B$4=5,Данные!$E35*(K$7/1000),0)))))</f>
        <v>1983.8</v>
      </c>
      <c r="L12" s="31">
        <f>IF($B$4=1,Данные!$E7*(L$7/1000),IF($B$4=2,Данные!$E14*(L$7/1000),IF($B$4=3,Данные!$E21*(L$7/1000),IF($B$4=4,Данные!$E28*(L$7/1000),IF($B$4=5,Данные!$E35*(L$7/1000),0)))))</f>
        <v>2136.4</v>
      </c>
      <c r="M12" s="31">
        <f>IF($B$4=1,Данные!$E7*(M$7/1000),IF($B$4=2,Данные!$E14*(M$7/1000),IF($B$4=3,Данные!$E21*(M$7/1000),IF($B$4=4,Данные!$E28*(M$7/1000),IF($B$4=5,Данные!$E35*(M$7/1000),0)))))</f>
        <v>2289</v>
      </c>
      <c r="N12" s="31">
        <f>IF($B$4=1,Данные!$E7*(N$7/1000),IF($B$4=2,Данные!$E14*(N$7/1000),IF($B$4=3,Данные!$E21*(N$7/1000),IF($B$4=4,Данные!$E28*(N$7/1000),IF($B$4=5,Данные!$E35*(N$7/1000),0)))))</f>
        <v>2441.6</v>
      </c>
      <c r="O12" s="31">
        <f>IF($B$4=1,Данные!$E7*(O$7/1000),IF($B$4=2,Данные!$E14*(O$7/1000),IF($B$4=3,Данные!$E21*(O$7/1000),IF($B$4=4,Данные!$E28*(O$7/1000),IF($B$4=5,Данные!$E35*(O$7/1000),0)))))</f>
        <v>2594.1999999999998</v>
      </c>
      <c r="P12" s="31">
        <f>IF($B$4=1,Данные!$E7*(P$7/1000),IF($B$4=2,Данные!$E14*(P$7/1000),IF($B$4=3,Данные!$E21*(P$7/1000),IF($B$4=4,Данные!$E28*(P$7/1000),IF($B$4=5,Данные!$E35*(P$7/1000),0)))))</f>
        <v>2746.8</v>
      </c>
      <c r="Q12" s="31">
        <f>IF($B$4=1,Данные!$E7*(Q$7/1000),IF($B$4=2,Данные!$E14*(Q$7/1000),IF($B$4=3,Данные!$E21*(Q$7/1000),IF($B$4=4,Данные!$E28*(Q$7/1000),IF($B$4=5,Данные!$E35*(Q$7/1000),0)))))</f>
        <v>2899.4</v>
      </c>
      <c r="R12" s="31">
        <f>IF($B$4=1,Данные!$E7*(R$7/1000),IF($B$4=2,Данные!$E14*(R$7/1000),IF($B$4=3,Данные!$E21*(R$7/1000),IF($B$4=4,Данные!$E28*(R$7/1000),IF($B$4=5,Данные!$E35*(R$7/1000),0)))))</f>
        <v>3052</v>
      </c>
      <c r="S12" s="31">
        <f>IF($B$4=1,Данные!$E7*(S$7/1000),IF($B$4=2,Данные!$E14*(S$7/1000),IF($B$4=3,Данные!$E21*(S$7/1000),IF($B$4=4,Данные!$E28*(S$7/1000),IF($B$4=5,Данные!$E35*(S$7/1000),0)))))</f>
        <v>3204.6</v>
      </c>
      <c r="T12" s="31">
        <f>IF($B$4=1,Данные!$E7*(T$7/1000),IF($B$4=2,Данные!$E14*(T$7/1000),IF($B$4=3,Данные!$E21*(T$7/1000),IF($B$4=4,Данные!$E28*(T$7/1000),IF($B$4=5,Данные!$E35*(T$7/1000),0)))))</f>
        <v>3357.2000000000003</v>
      </c>
      <c r="U12" s="31">
        <f>IF($B$4=1,Данные!$E7*(U$7/1000),IF($B$4=2,Данные!$E14*(U$7/1000),IF($B$4=3,Данные!$E21*(U$7/1000),IF($B$4=4,Данные!$E28*(U$7/1000),IF($B$4=5,Данные!$E35*(U$7/1000),0)))))</f>
        <v>3509.7999999999997</v>
      </c>
      <c r="V12" s="31">
        <f>IF($B$4=1,Данные!$E7*(V$7/1000),IF($B$4=2,Данные!$E14*(V$7/1000),IF($B$4=3,Данные!$E21*(V$7/1000),IF($B$4=4,Данные!$E28*(V$7/1000),IF($B$4=5,Данные!$E35*(V$7/1000),0)))))</f>
        <v>3662.4</v>
      </c>
      <c r="W12" s="31">
        <f>IF($B$4=1,Данные!$E7*(W$7/1000),IF($B$4=2,Данные!$E14*(W$7/1000),IF($B$4=3,Данные!$E21*(W$7/1000),IF($B$4=4,Данные!$E28*(W$7/1000),IF($B$4=5,Данные!$E35*(W$7/1000),0)))))</f>
        <v>3815</v>
      </c>
      <c r="X12" s="31">
        <f>IF($B$4=1,Данные!$E7*(X$7/1000),IF($B$4=2,Данные!$E14*(X$7/1000),IF($B$4=3,Данные!$E21*(X$7/1000),IF($B$4=4,Данные!$E28*(X$7/1000),IF($B$4=5,Данные!$E35*(X$7/1000),0)))))</f>
        <v>3967.6</v>
      </c>
      <c r="Y12" s="31">
        <f>IF($B$4=1,Данные!$E7*(Y$7/1000),IF($B$4=2,Данные!$E14*(Y$7/1000),IF($B$4=3,Данные!$E21*(Y$7/1000),IF($B$4=4,Данные!$E28*(Y$7/1000),IF($B$4=5,Данные!$E35*(Y$7/1000),0)))))</f>
        <v>4120.2</v>
      </c>
      <c r="Z12" s="31">
        <f>IF($B$4=1,Данные!$E7*(Z$7/1000),IF($B$4=2,Данные!$E14*(Z$7/1000),IF($B$4=3,Данные!$E21*(Z$7/1000),IF($B$4=4,Данные!$E28*(Z$7/1000),IF($B$4=5,Данные!$E35*(Z$7/1000),0)))))</f>
        <v>4272.8</v>
      </c>
      <c r="AA12" s="31">
        <f>IF($B$4=1,Данные!$E7*(AA$7/1000),IF($B$4=2,Данные!$E14*(AA$7/1000),IF($B$4=3,Данные!$E21*(AA$7/1000),IF($B$4=4,Данные!$E28*(AA$7/1000),IF($B$4=5,Данные!$E35*(AA$7/1000),0)))))</f>
        <v>4425.3999999999996</v>
      </c>
      <c r="AB12" s="32">
        <f>IF($B$4=1,Данные!$E7*(AB$7/1000),IF($B$4=2,Данные!$E14*(AB$7/1000),IF($B$4=3,Данные!$E21*(AB$7/1000),IF($B$4=4,Данные!$E28*(AB$7/1000),IF($B$4=5,Данные!$E35*(AB$7/1000),0)))))</f>
        <v>4578</v>
      </c>
    </row>
    <row r="13" spans="1:28" ht="27" customHeight="1" x14ac:dyDescent="0.3">
      <c r="A13" s="11" t="s">
        <v>21</v>
      </c>
      <c r="B13" s="30">
        <f>IF($B$4=1,Данные!$E8*(B$7/1000),IF($B$4=2,Данные!$E15*(B$7/1000),IF($B$4=3,Данные!$E22*(B$7/1000),IF($B$4=4,Данные!$E29*(B$7/1000),IF($B$4=5,Данные!$E36*(B$7/1000),0)))))</f>
        <v>560.4</v>
      </c>
      <c r="C13" s="31">
        <f>IF($B$4=1,Данные!$E8*(C$7/1000),IF($B$4=2,Данные!$E15*(C$7/1000),IF($B$4=3,Данные!$E22*(C$7/1000),IF($B$4=4,Данные!$E29*(C$7/1000),IF($B$4=5,Данные!$E36*(C$7/1000),0)))))</f>
        <v>700.5</v>
      </c>
      <c r="D13" s="31">
        <f>IF($B$4=1,Данные!$E8*(D$7/1000),IF($B$4=2,Данные!$E15*(D$7/1000),IF($B$4=3,Данные!$E22*(D$7/1000),IF($B$4=4,Данные!$E29*(D$7/1000),IF($B$4=5,Данные!$E36*(D$7/1000),0)))))</f>
        <v>840.6</v>
      </c>
      <c r="E13" s="31">
        <f>IF($B$4=1,Данные!$E8*(E$7/1000),IF($B$4=2,Данные!$E15*(E$7/1000),IF($B$4=3,Данные!$E22*(E$7/1000),IF($B$4=4,Данные!$E29*(E$7/1000),IF($B$4=5,Данные!$E36*(E$7/1000),0)))))</f>
        <v>980.69999999999993</v>
      </c>
      <c r="F13" s="31">
        <f>IF($B$4=1,Данные!$E8*(F$7/1000),IF($B$4=2,Данные!$E15*(F$7/1000),IF($B$4=3,Данные!$E22*(F$7/1000),IF($B$4=4,Данные!$E29*(F$7/1000),IF($B$4=5,Данные!$E36*(F$7/1000),0)))))</f>
        <v>1120.8</v>
      </c>
      <c r="G13" s="31">
        <f>IF($B$4=1,Данные!$E8*(G$7/1000),IF($B$4=2,Данные!$E15*(G$7/1000),IF($B$4=3,Данные!$E22*(G$7/1000),IF($B$4=4,Данные!$E29*(G$7/1000),IF($B$4=5,Данные!$E36*(G$7/1000),0)))))</f>
        <v>1260.9000000000001</v>
      </c>
      <c r="H13" s="31">
        <f>IF($B$4=1,Данные!$E8*(H$7/1000),IF($B$4=2,Данные!$E15*(H$7/1000),IF($B$4=3,Данные!$E22*(H$7/1000),IF($B$4=4,Данные!$E29*(H$7/1000),IF($B$4=5,Данные!$E36*(H$7/1000),0)))))</f>
        <v>1401</v>
      </c>
      <c r="I13" s="31">
        <f>IF($B$4=1,Данные!$E8*(I$7/1000),IF($B$4=2,Данные!$E15*(I$7/1000),IF($B$4=3,Данные!$E22*(I$7/1000),IF($B$4=4,Данные!$E29*(I$7/1000),IF($B$4=5,Данные!$E36*(I$7/1000),0)))))</f>
        <v>1541.1000000000001</v>
      </c>
      <c r="J13" s="31">
        <f>IF($B$4=1,Данные!$E8*(J$7/1000),IF($B$4=2,Данные!$E15*(J$7/1000),IF($B$4=3,Данные!$E22*(J$7/1000),IF($B$4=4,Данные!$E29*(J$7/1000),IF($B$4=5,Данные!$E36*(J$7/1000),0)))))</f>
        <v>1681.2</v>
      </c>
      <c r="K13" s="31">
        <f>IF($B$4=1,Данные!$E8*(K$7/1000),IF($B$4=2,Данные!$E15*(K$7/1000),IF($B$4=3,Данные!$E22*(K$7/1000),IF($B$4=4,Данные!$E29*(K$7/1000),IF($B$4=5,Данные!$E36*(K$7/1000),0)))))</f>
        <v>1821.3</v>
      </c>
      <c r="L13" s="31">
        <f>IF($B$4=1,Данные!$E8*(L$7/1000),IF($B$4=2,Данные!$E15*(L$7/1000),IF($B$4=3,Данные!$E22*(L$7/1000),IF($B$4=4,Данные!$E29*(L$7/1000),IF($B$4=5,Данные!$E36*(L$7/1000),0)))))</f>
        <v>1961.3999999999999</v>
      </c>
      <c r="M13" s="31">
        <f>IF($B$4=1,Данные!$E8*(M$7/1000),IF($B$4=2,Данные!$E15*(M$7/1000),IF($B$4=3,Данные!$E22*(M$7/1000),IF($B$4=4,Данные!$E29*(M$7/1000),IF($B$4=5,Данные!$E36*(M$7/1000),0)))))</f>
        <v>2101.5</v>
      </c>
      <c r="N13" s="31">
        <f>IF($B$4=1,Данные!$E8*(N$7/1000),IF($B$4=2,Данные!$E15*(N$7/1000),IF($B$4=3,Данные!$E22*(N$7/1000),IF($B$4=4,Данные!$E29*(N$7/1000),IF($B$4=5,Данные!$E36*(N$7/1000),0)))))</f>
        <v>2241.6</v>
      </c>
      <c r="O13" s="31">
        <f>IF($B$4=1,Данные!$E8*(O$7/1000),IF($B$4=2,Данные!$E15*(O$7/1000),IF($B$4=3,Данные!$E22*(O$7/1000),IF($B$4=4,Данные!$E29*(O$7/1000),IF($B$4=5,Данные!$E36*(O$7/1000),0)))))</f>
        <v>2381.6999999999998</v>
      </c>
      <c r="P13" s="31">
        <f>IF($B$4=1,Данные!$E8*(P$7/1000),IF($B$4=2,Данные!$E15*(P$7/1000),IF($B$4=3,Данные!$E22*(P$7/1000),IF($B$4=4,Данные!$E29*(P$7/1000),IF($B$4=5,Данные!$E36*(P$7/1000),0)))))</f>
        <v>2521.8000000000002</v>
      </c>
      <c r="Q13" s="31">
        <f>IF($B$4=1,Данные!$E8*(Q$7/1000),IF($B$4=2,Данные!$E15*(Q$7/1000),IF($B$4=3,Данные!$E22*(Q$7/1000),IF($B$4=4,Данные!$E29*(Q$7/1000),IF($B$4=5,Данные!$E36*(Q$7/1000),0)))))</f>
        <v>2661.9</v>
      </c>
      <c r="R13" s="31">
        <f>IF($B$4=1,Данные!$E8*(R$7/1000),IF($B$4=2,Данные!$E15*(R$7/1000),IF($B$4=3,Данные!$E22*(R$7/1000),IF($B$4=4,Данные!$E29*(R$7/1000),IF($B$4=5,Данные!$E36*(R$7/1000),0)))))</f>
        <v>2802</v>
      </c>
      <c r="S13" s="31">
        <f>IF($B$4=1,Данные!$E8*(S$7/1000),IF($B$4=2,Данные!$E15*(S$7/1000),IF($B$4=3,Данные!$E22*(S$7/1000),IF($B$4=4,Данные!$E29*(S$7/1000),IF($B$4=5,Данные!$E36*(S$7/1000),0)))))</f>
        <v>2942.1</v>
      </c>
      <c r="T13" s="31">
        <f>IF($B$4=1,Данные!$E8*(T$7/1000),IF($B$4=2,Данные!$E15*(T$7/1000),IF($B$4=3,Данные!$E22*(T$7/1000),IF($B$4=4,Данные!$E29*(T$7/1000),IF($B$4=5,Данные!$E36*(T$7/1000),0)))))</f>
        <v>3082.2000000000003</v>
      </c>
      <c r="U13" s="31">
        <f>IF($B$4=1,Данные!$E8*(U$7/1000),IF($B$4=2,Данные!$E15*(U$7/1000),IF($B$4=3,Данные!$E22*(U$7/1000),IF($B$4=4,Данные!$E29*(U$7/1000),IF($B$4=5,Данные!$E36*(U$7/1000),0)))))</f>
        <v>3222.2999999999997</v>
      </c>
      <c r="V13" s="31">
        <f>IF($B$4=1,Данные!$E8*(V$7/1000),IF($B$4=2,Данные!$E15*(V$7/1000),IF($B$4=3,Данные!$E22*(V$7/1000),IF($B$4=4,Данные!$E29*(V$7/1000),IF($B$4=5,Данные!$E36*(V$7/1000),0)))))</f>
        <v>3362.4</v>
      </c>
      <c r="W13" s="31">
        <f>IF($B$4=1,Данные!$E8*(W$7/1000),IF($B$4=2,Данные!$E15*(W$7/1000),IF($B$4=3,Данные!$E22*(W$7/1000),IF($B$4=4,Данные!$E29*(W$7/1000),IF($B$4=5,Данные!$E36*(W$7/1000),0)))))</f>
        <v>3502.5</v>
      </c>
      <c r="X13" s="31">
        <f>IF($B$4=1,Данные!$E8*(X$7/1000),IF($B$4=2,Данные!$E15*(X$7/1000),IF($B$4=3,Данные!$E22*(X$7/1000),IF($B$4=4,Данные!$E29*(X$7/1000),IF($B$4=5,Данные!$E36*(X$7/1000),0)))))</f>
        <v>3642.6</v>
      </c>
      <c r="Y13" s="31">
        <f>IF($B$4=1,Данные!$E8*(Y$7/1000),IF($B$4=2,Данные!$E15*(Y$7/1000),IF($B$4=3,Данные!$E22*(Y$7/1000),IF($B$4=4,Данные!$E29*(Y$7/1000),IF($B$4=5,Данные!$E36*(Y$7/1000),0)))))</f>
        <v>3782.7000000000003</v>
      </c>
      <c r="Z13" s="31">
        <f>IF($B$4=1,Данные!$E8*(Z$7/1000),IF($B$4=2,Данные!$E15*(Z$7/1000),IF($B$4=3,Данные!$E22*(Z$7/1000),IF($B$4=4,Данные!$E29*(Z$7/1000),IF($B$4=5,Данные!$E36*(Z$7/1000),0)))))</f>
        <v>3922.7999999999997</v>
      </c>
      <c r="AA13" s="31">
        <f>IF($B$4=1,Данные!$E8*(AA$7/1000),IF($B$4=2,Данные!$E15*(AA$7/1000),IF($B$4=3,Данные!$E22*(AA$7/1000),IF($B$4=4,Данные!$E29*(AA$7/1000),IF($B$4=5,Данные!$E36*(AA$7/1000),0)))))</f>
        <v>4062.9</v>
      </c>
      <c r="AB13" s="32">
        <f>IF($B$4=1,Данные!$E8*(AB$7/1000),IF($B$4=2,Данные!$E15*(AB$7/1000),IF($B$4=3,Данные!$E22*(AB$7/1000),IF($B$4=4,Данные!$E29*(AB$7/1000),IF($B$4=5,Данные!$E36*(AB$7/1000),0)))))</f>
        <v>4203</v>
      </c>
    </row>
    <row r="14" spans="1:28" ht="27" customHeight="1" thickBot="1" x14ac:dyDescent="0.35">
      <c r="A14" s="12" t="s">
        <v>22</v>
      </c>
      <c r="B14" s="33">
        <f>IF($B$4=1,Данные!$E9*(B$7/1000),IF($B$4=2,Данные!$E16*(B$7/1000),IF($B$4=3,Данные!$E23*(B$7/1000),IF($B$4=4,Данные!$E30*(B$7/1000),IF($B$4=5,Данные!$E37*(B$7/1000),0)))))</f>
        <v>859.6</v>
      </c>
      <c r="C14" s="34">
        <f>IF($B$4=1,Данные!$E9*(C$7/1000),IF($B$4=2,Данные!$E16*(C$7/1000),IF($B$4=3,Данные!$E23*(C$7/1000),IF($B$4=4,Данные!$E30*(C$7/1000),IF($B$4=5,Данные!$E37*(C$7/1000),0)))))</f>
        <v>1074.5</v>
      </c>
      <c r="D14" s="34">
        <f>IF($B$4=1,Данные!$E9*(D$7/1000),IF($B$4=2,Данные!$E16*(D$7/1000),IF($B$4=3,Данные!$E23*(D$7/1000),IF($B$4=4,Данные!$E30*(D$7/1000),IF($B$4=5,Данные!$E37*(D$7/1000),0)))))</f>
        <v>1289.3999999999999</v>
      </c>
      <c r="E14" s="34">
        <f>IF($B$4=1,Данные!$E9*(E$7/1000),IF($B$4=2,Данные!$E16*(E$7/1000),IF($B$4=3,Данные!$E23*(E$7/1000),IF($B$4=4,Данные!$E30*(E$7/1000),IF($B$4=5,Данные!$E37*(E$7/1000),0)))))</f>
        <v>1504.3</v>
      </c>
      <c r="F14" s="34">
        <f>IF($B$4=1,Данные!$E9*(F$7/1000),IF($B$4=2,Данные!$E16*(F$7/1000),IF($B$4=3,Данные!$E23*(F$7/1000),IF($B$4=4,Данные!$E30*(F$7/1000),IF($B$4=5,Данные!$E37*(F$7/1000),0)))))</f>
        <v>1719.2</v>
      </c>
      <c r="G14" s="34">
        <f>IF($B$4=1,Данные!$E9*(G$7/1000),IF($B$4=2,Данные!$E16*(G$7/1000),IF($B$4=3,Данные!$E23*(G$7/1000),IF($B$4=4,Данные!$E30*(G$7/1000),IF($B$4=5,Данные!$E37*(G$7/1000),0)))))</f>
        <v>1934.1000000000001</v>
      </c>
      <c r="H14" s="34">
        <f>IF($B$4=1,Данные!$E9*(H$7/1000),IF($B$4=2,Данные!$E16*(H$7/1000),IF($B$4=3,Данные!$E23*(H$7/1000),IF($B$4=4,Данные!$E30*(H$7/1000),IF($B$4=5,Данные!$E37*(H$7/1000),0)))))</f>
        <v>2149</v>
      </c>
      <c r="I14" s="34">
        <f>IF($B$4=1,Данные!$E9*(I$7/1000),IF($B$4=2,Данные!$E16*(I$7/1000),IF($B$4=3,Данные!$E23*(I$7/1000),IF($B$4=4,Данные!$E30*(I$7/1000),IF($B$4=5,Данные!$E37*(I$7/1000),0)))))</f>
        <v>2363.9</v>
      </c>
      <c r="J14" s="34">
        <f>IF($B$4=1,Данные!$E9*(J$7/1000),IF($B$4=2,Данные!$E16*(J$7/1000),IF($B$4=3,Данные!$E23*(J$7/1000),IF($B$4=4,Данные!$E30*(J$7/1000),IF($B$4=5,Данные!$E37*(J$7/1000),0)))))</f>
        <v>2578.7999999999997</v>
      </c>
      <c r="K14" s="34">
        <f>IF($B$4=1,Данные!$E9*(K$7/1000),IF($B$4=2,Данные!$E16*(K$7/1000),IF($B$4=3,Данные!$E23*(K$7/1000),IF($B$4=4,Данные!$E30*(K$7/1000),IF($B$4=5,Данные!$E37*(K$7/1000),0)))))</f>
        <v>2793.7000000000003</v>
      </c>
      <c r="L14" s="34">
        <f>IF($B$4=1,Данные!$E9*(L$7/1000),IF($B$4=2,Данные!$E16*(L$7/1000),IF($B$4=3,Данные!$E23*(L$7/1000),IF($B$4=4,Данные!$E30*(L$7/1000),IF($B$4=5,Данные!$E37*(L$7/1000),0)))))</f>
        <v>3008.6</v>
      </c>
      <c r="M14" s="34">
        <f>IF($B$4=1,Данные!$E9*(M$7/1000),IF($B$4=2,Данные!$E16*(M$7/1000),IF($B$4=3,Данные!$E23*(M$7/1000),IF($B$4=4,Данные!$E30*(M$7/1000),IF($B$4=5,Данные!$E37*(M$7/1000),0)))))</f>
        <v>3223.5</v>
      </c>
      <c r="N14" s="34">
        <f>IF($B$4=1,Данные!$E9*(N$7/1000),IF($B$4=2,Данные!$E16*(N$7/1000),IF($B$4=3,Данные!$E23*(N$7/1000),IF($B$4=4,Данные!$E30*(N$7/1000),IF($B$4=5,Данные!$E37*(N$7/1000),0)))))</f>
        <v>3438.4</v>
      </c>
      <c r="O14" s="34">
        <f>IF($B$4=1,Данные!$E9*(O$7/1000),IF($B$4=2,Данные!$E16*(O$7/1000),IF($B$4=3,Данные!$E23*(O$7/1000),IF($B$4=4,Данные!$E30*(O$7/1000),IF($B$4=5,Данные!$E37*(O$7/1000),0)))))</f>
        <v>3653.2999999999997</v>
      </c>
      <c r="P14" s="34">
        <f>IF($B$4=1,Данные!$E9*(P$7/1000),IF($B$4=2,Данные!$E16*(P$7/1000),IF($B$4=3,Данные!$E23*(P$7/1000),IF($B$4=4,Данные!$E30*(P$7/1000),IF($B$4=5,Данные!$E37*(P$7/1000),0)))))</f>
        <v>3868.2000000000003</v>
      </c>
      <c r="Q14" s="34">
        <f>IF($B$4=1,Данные!$E9*(Q$7/1000),IF($B$4=2,Данные!$E16*(Q$7/1000),IF($B$4=3,Данные!$E23*(Q$7/1000),IF($B$4=4,Данные!$E30*(Q$7/1000),IF($B$4=5,Данные!$E37*(Q$7/1000),0)))))</f>
        <v>4083.1</v>
      </c>
      <c r="R14" s="34">
        <f>IF($B$4=1,Данные!$E9*(R$7/1000),IF($B$4=2,Данные!$E16*(R$7/1000),IF($B$4=3,Данные!$E23*(R$7/1000),IF($B$4=4,Данные!$E30*(R$7/1000),IF($B$4=5,Данные!$E37*(R$7/1000),0)))))</f>
        <v>4298</v>
      </c>
      <c r="S14" s="34">
        <f>IF($B$4=1,Данные!$E9*(S$7/1000),IF($B$4=2,Данные!$E16*(S$7/1000),IF($B$4=3,Данные!$E23*(S$7/1000),IF($B$4=4,Данные!$E30*(S$7/1000),IF($B$4=5,Данные!$E37*(S$7/1000),0)))))</f>
        <v>4512.9000000000005</v>
      </c>
      <c r="T14" s="34">
        <f>IF($B$4=1,Данные!$E9*(T$7/1000),IF($B$4=2,Данные!$E16*(T$7/1000),IF($B$4=3,Данные!$E23*(T$7/1000),IF($B$4=4,Данные!$E30*(T$7/1000),IF($B$4=5,Данные!$E37*(T$7/1000),0)))))</f>
        <v>4727.8</v>
      </c>
      <c r="U14" s="34">
        <f>IF($B$4=1,Данные!$E9*(U$7/1000),IF($B$4=2,Данные!$E16*(U$7/1000),IF($B$4=3,Данные!$E23*(U$7/1000),IF($B$4=4,Данные!$E30*(U$7/1000),IF($B$4=5,Данные!$E37*(U$7/1000),0)))))</f>
        <v>4942.7</v>
      </c>
      <c r="V14" s="34">
        <f>IF($B$4=1,Данные!$E9*(V$7/1000),IF($B$4=2,Данные!$E16*(V$7/1000),IF($B$4=3,Данные!$E23*(V$7/1000),IF($B$4=4,Данные!$E30*(V$7/1000),IF($B$4=5,Данные!$E37*(V$7/1000),0)))))</f>
        <v>5157.5999999999995</v>
      </c>
      <c r="W14" s="34">
        <f>IF($B$4=1,Данные!$E9*(W$7/1000),IF($B$4=2,Данные!$E16*(W$7/1000),IF($B$4=3,Данные!$E23*(W$7/1000),IF($B$4=4,Данные!$E30*(W$7/1000),IF($B$4=5,Данные!$E37*(W$7/1000),0)))))</f>
        <v>5372.5</v>
      </c>
      <c r="X14" s="34">
        <f>IF($B$4=1,Данные!$E9*(X$7/1000),IF($B$4=2,Данные!$E16*(X$7/1000),IF($B$4=3,Данные!$E23*(X$7/1000),IF($B$4=4,Данные!$E30*(X$7/1000),IF($B$4=5,Данные!$E37*(X$7/1000),0)))))</f>
        <v>5587.4000000000005</v>
      </c>
      <c r="Y14" s="34">
        <f>IF($B$4=1,Данные!$E9*(Y$7/1000),IF($B$4=2,Данные!$E16*(Y$7/1000),IF($B$4=3,Данные!$E23*(Y$7/1000),IF($B$4=4,Данные!$E30*(Y$7/1000),IF($B$4=5,Данные!$E37*(Y$7/1000),0)))))</f>
        <v>5802.3</v>
      </c>
      <c r="Z14" s="34">
        <f>IF($B$4=1,Данные!$E9*(Z$7/1000),IF($B$4=2,Данные!$E16*(Z$7/1000),IF($B$4=3,Данные!$E23*(Z$7/1000),IF($B$4=4,Данные!$E30*(Z$7/1000),IF($B$4=5,Данные!$E37*(Z$7/1000),0)))))</f>
        <v>6017.2</v>
      </c>
      <c r="AA14" s="34">
        <f>IF($B$4=1,Данные!$E9*(AA$7/1000),IF($B$4=2,Данные!$E16*(AA$7/1000),IF($B$4=3,Данные!$E23*(AA$7/1000),IF($B$4=4,Данные!$E30*(AA$7/1000),IF($B$4=5,Данные!$E37*(AA$7/1000),0)))))</f>
        <v>6232.0999999999995</v>
      </c>
      <c r="AB14" s="35">
        <f>IF($B$4=1,Данные!$E9*(AB$7/1000),IF($B$4=2,Данные!$E16*(AB$7/1000),IF($B$4=3,Данные!$E23*(AB$7/1000),IF($B$4=4,Данные!$E30*(AB$7/1000),IF($B$4=5,Данные!$E37*(AB$7/1000),0)))))</f>
        <v>6447</v>
      </c>
    </row>
  </sheetData>
  <protectedRanges>
    <protectedRange sqref="B1:B5" name="Диапазон1"/>
  </protectedRanges>
  <mergeCells count="2">
    <mergeCell ref="C2:R2"/>
    <mergeCell ref="B6:AB6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</xdr:col>
                    <xdr:colOff>30480</xdr:colOff>
                    <xdr:row>3</xdr:row>
                    <xdr:rowOff>22860</xdr:rowOff>
                  </from>
                  <to>
                    <xdr:col>1</xdr:col>
                    <xdr:colOff>731520</xdr:colOff>
                    <xdr:row>3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opLeftCell="A22" workbookViewId="0">
      <selection activeCell="J39" sqref="J39"/>
    </sheetView>
  </sheetViews>
  <sheetFormatPr defaultRowHeight="14.4" x14ac:dyDescent="0.3"/>
  <cols>
    <col min="1" max="3" width="12.109375" customWidth="1"/>
    <col min="4" max="4" width="11.6640625" customWidth="1"/>
    <col min="5" max="7" width="3.88671875" bestFit="1" customWidth="1"/>
  </cols>
  <sheetData>
    <row r="1" spans="1:15" ht="45" customHeight="1" x14ac:dyDescent="0.3">
      <c r="A1" s="47" t="s">
        <v>6</v>
      </c>
      <c r="B1" s="47" t="s">
        <v>7</v>
      </c>
      <c r="C1" s="47" t="s">
        <v>0</v>
      </c>
      <c r="D1" s="45" t="s">
        <v>8</v>
      </c>
      <c r="E1" s="46"/>
      <c r="F1" s="46"/>
      <c r="G1" s="46"/>
      <c r="H1" s="16" t="s">
        <v>9</v>
      </c>
    </row>
    <row r="2" spans="1:15" x14ac:dyDescent="0.3">
      <c r="A2" s="47"/>
      <c r="B2" s="47"/>
      <c r="C2" s="47"/>
      <c r="D2" s="15" t="s">
        <v>10</v>
      </c>
      <c r="E2" s="15">
        <f>'Пересчет мощностей'!B1</f>
        <v>95</v>
      </c>
      <c r="F2" s="19">
        <f>'Пересчет мощностей'!B2</f>
        <v>85</v>
      </c>
      <c r="G2" s="18">
        <f>'Пересчет мощностей'!B3</f>
        <v>20</v>
      </c>
      <c r="H2" s="5">
        <f>(('Пересчет мощностей'!$B$1+'Пересчет мощностей'!$B$2)/2)-'Пересчет мощностей'!B3</f>
        <v>70</v>
      </c>
    </row>
    <row r="3" spans="1:15" x14ac:dyDescent="0.3">
      <c r="A3" s="44">
        <v>300</v>
      </c>
      <c r="B3" s="4">
        <v>10</v>
      </c>
      <c r="C3" s="3">
        <v>1.31</v>
      </c>
      <c r="D3" s="3">
        <v>562</v>
      </c>
      <c r="E3" s="41">
        <f>D3/H3</f>
        <v>562</v>
      </c>
      <c r="F3" s="41"/>
      <c r="G3" s="41"/>
      <c r="H3" s="17">
        <f>POWER(70/$H$2,C3)</f>
        <v>1</v>
      </c>
    </row>
    <row r="4" spans="1:15" x14ac:dyDescent="0.3">
      <c r="A4" s="44"/>
      <c r="B4" s="4">
        <v>11</v>
      </c>
      <c r="C4" s="3">
        <v>1.28</v>
      </c>
      <c r="D4" s="3">
        <v>798</v>
      </c>
      <c r="E4" s="41">
        <f t="shared" ref="E4:E37" si="0">D4/H4</f>
        <v>798</v>
      </c>
      <c r="F4" s="41"/>
      <c r="G4" s="41"/>
      <c r="H4" s="17">
        <f t="shared" ref="H4:H37" si="1">POWER(70/$H$2,C4)</f>
        <v>1</v>
      </c>
      <c r="J4" s="20" t="s">
        <v>11</v>
      </c>
    </row>
    <row r="5" spans="1:15" x14ac:dyDescent="0.3">
      <c r="A5" s="44"/>
      <c r="B5" s="4">
        <v>20</v>
      </c>
      <c r="C5" s="3">
        <v>1.28</v>
      </c>
      <c r="D5" s="3">
        <v>922</v>
      </c>
      <c r="E5" s="41">
        <f t="shared" si="0"/>
        <v>922</v>
      </c>
      <c r="F5" s="41"/>
      <c r="G5" s="41"/>
      <c r="H5" s="17">
        <f t="shared" si="1"/>
        <v>1</v>
      </c>
      <c r="J5" s="20" t="s">
        <v>12</v>
      </c>
    </row>
    <row r="6" spans="1:15" x14ac:dyDescent="0.3">
      <c r="A6" s="44"/>
      <c r="B6" s="4">
        <v>21</v>
      </c>
      <c r="C6" s="3">
        <v>1.3</v>
      </c>
      <c r="D6" s="3">
        <v>1144</v>
      </c>
      <c r="E6" s="41">
        <f t="shared" si="0"/>
        <v>1144</v>
      </c>
      <c r="F6" s="41"/>
      <c r="G6" s="41"/>
      <c r="H6" s="17">
        <f t="shared" si="1"/>
        <v>1</v>
      </c>
      <c r="J6" s="20" t="s">
        <v>13</v>
      </c>
    </row>
    <row r="7" spans="1:15" x14ac:dyDescent="0.3">
      <c r="A7" s="44"/>
      <c r="B7" s="4">
        <v>22</v>
      </c>
      <c r="C7" s="3">
        <v>1.29</v>
      </c>
      <c r="D7" s="3">
        <v>1526</v>
      </c>
      <c r="E7" s="41">
        <f t="shared" si="0"/>
        <v>1526</v>
      </c>
      <c r="F7" s="41"/>
      <c r="G7" s="41"/>
      <c r="H7" s="17">
        <f t="shared" si="1"/>
        <v>1</v>
      </c>
      <c r="J7" s="20" t="s">
        <v>14</v>
      </c>
    </row>
    <row r="8" spans="1:15" x14ac:dyDescent="0.3">
      <c r="A8" s="44"/>
      <c r="B8" s="4">
        <v>30</v>
      </c>
      <c r="C8" s="3">
        <v>1.29</v>
      </c>
      <c r="D8" s="3">
        <v>1401</v>
      </c>
      <c r="E8" s="41">
        <f t="shared" si="0"/>
        <v>1401</v>
      </c>
      <c r="F8" s="41"/>
      <c r="G8" s="41"/>
      <c r="H8" s="17">
        <f t="shared" si="1"/>
        <v>1</v>
      </c>
      <c r="J8" s="20" t="s">
        <v>15</v>
      </c>
    </row>
    <row r="9" spans="1:15" x14ac:dyDescent="0.3">
      <c r="A9" s="44"/>
      <c r="B9" s="4">
        <v>33</v>
      </c>
      <c r="C9" s="3">
        <v>1.31</v>
      </c>
      <c r="D9" s="3">
        <v>2149</v>
      </c>
      <c r="E9" s="41">
        <f t="shared" si="0"/>
        <v>2149</v>
      </c>
      <c r="F9" s="41"/>
      <c r="G9" s="41"/>
      <c r="H9" s="17">
        <f t="shared" si="1"/>
        <v>1</v>
      </c>
    </row>
    <row r="10" spans="1:15" x14ac:dyDescent="0.3">
      <c r="A10" s="44">
        <v>400</v>
      </c>
      <c r="B10" s="4">
        <v>10</v>
      </c>
      <c r="C10" s="3">
        <v>1.29</v>
      </c>
      <c r="D10" s="3">
        <v>720</v>
      </c>
      <c r="E10" s="41">
        <f t="shared" si="0"/>
        <v>720</v>
      </c>
      <c r="F10" s="41"/>
      <c r="G10" s="41"/>
      <c r="H10" s="17">
        <f t="shared" si="1"/>
        <v>1</v>
      </c>
    </row>
    <row r="11" spans="1:15" x14ac:dyDescent="0.3">
      <c r="A11" s="44"/>
      <c r="B11" s="4">
        <v>11</v>
      </c>
      <c r="C11" s="3">
        <v>1.28</v>
      </c>
      <c r="D11" s="3">
        <v>1064</v>
      </c>
      <c r="E11" s="41">
        <f t="shared" si="0"/>
        <v>1064</v>
      </c>
      <c r="F11" s="41"/>
      <c r="G11" s="41"/>
      <c r="H11" s="17">
        <f t="shared" si="1"/>
        <v>1</v>
      </c>
      <c r="M11" s="42"/>
      <c r="N11" s="43"/>
      <c r="O11" s="43"/>
    </row>
    <row r="12" spans="1:15" x14ac:dyDescent="0.3">
      <c r="A12" s="44"/>
      <c r="B12" s="4">
        <v>20</v>
      </c>
      <c r="C12" s="3">
        <v>1.28</v>
      </c>
      <c r="D12" s="3">
        <v>1229</v>
      </c>
      <c r="E12" s="41">
        <f t="shared" si="0"/>
        <v>1229</v>
      </c>
      <c r="F12" s="41"/>
      <c r="G12" s="41"/>
      <c r="H12" s="17">
        <f t="shared" si="1"/>
        <v>1</v>
      </c>
    </row>
    <row r="13" spans="1:15" x14ac:dyDescent="0.3">
      <c r="A13" s="44"/>
      <c r="B13" s="4">
        <v>21</v>
      </c>
      <c r="C13" s="3">
        <v>1.3</v>
      </c>
      <c r="D13" s="3">
        <v>1494</v>
      </c>
      <c r="E13" s="41">
        <f t="shared" si="0"/>
        <v>1494</v>
      </c>
      <c r="F13" s="41"/>
      <c r="G13" s="41"/>
      <c r="H13" s="17">
        <f t="shared" si="1"/>
        <v>1</v>
      </c>
    </row>
    <row r="14" spans="1:15" x14ac:dyDescent="0.3">
      <c r="A14" s="44"/>
      <c r="B14" s="4">
        <v>22</v>
      </c>
      <c r="C14" s="3">
        <v>1.29</v>
      </c>
      <c r="D14" s="3">
        <v>1923</v>
      </c>
      <c r="E14" s="41">
        <f t="shared" si="0"/>
        <v>1923</v>
      </c>
      <c r="F14" s="41"/>
      <c r="G14" s="41"/>
      <c r="H14" s="17">
        <f t="shared" si="1"/>
        <v>1</v>
      </c>
      <c r="K14" s="42"/>
      <c r="L14" s="43"/>
      <c r="M14" s="43"/>
    </row>
    <row r="15" spans="1:15" x14ac:dyDescent="0.3">
      <c r="A15" s="44"/>
      <c r="B15" s="4">
        <v>30</v>
      </c>
      <c r="C15" s="3">
        <v>1.3</v>
      </c>
      <c r="D15" s="3">
        <v>1770</v>
      </c>
      <c r="E15" s="41">
        <f t="shared" si="0"/>
        <v>1770</v>
      </c>
      <c r="F15" s="41"/>
      <c r="G15" s="41"/>
      <c r="H15" s="17">
        <f t="shared" si="1"/>
        <v>1</v>
      </c>
    </row>
    <row r="16" spans="1:15" x14ac:dyDescent="0.3">
      <c r="A16" s="44"/>
      <c r="B16" s="4">
        <v>33</v>
      </c>
      <c r="C16" s="3">
        <v>1.3</v>
      </c>
      <c r="D16" s="3">
        <v>2750</v>
      </c>
      <c r="E16" s="41">
        <f t="shared" si="0"/>
        <v>2750</v>
      </c>
      <c r="F16" s="41"/>
      <c r="G16" s="41"/>
      <c r="H16" s="17">
        <f t="shared" si="1"/>
        <v>1</v>
      </c>
    </row>
    <row r="17" spans="1:8" x14ac:dyDescent="0.3">
      <c r="A17" s="44">
        <v>500</v>
      </c>
      <c r="B17" s="4">
        <v>10</v>
      </c>
      <c r="C17" s="3">
        <v>1.27</v>
      </c>
      <c r="D17" s="3">
        <v>914</v>
      </c>
      <c r="E17" s="41">
        <f t="shared" si="0"/>
        <v>914</v>
      </c>
      <c r="F17" s="41"/>
      <c r="G17" s="41"/>
      <c r="H17" s="17">
        <f t="shared" si="1"/>
        <v>1</v>
      </c>
    </row>
    <row r="18" spans="1:8" x14ac:dyDescent="0.3">
      <c r="A18" s="44"/>
      <c r="B18" s="4">
        <v>11</v>
      </c>
      <c r="C18" s="3">
        <v>1.28</v>
      </c>
      <c r="D18" s="3">
        <v>1330</v>
      </c>
      <c r="E18" s="41">
        <f t="shared" si="0"/>
        <v>1330</v>
      </c>
      <c r="F18" s="41"/>
      <c r="G18" s="41"/>
      <c r="H18" s="17">
        <f t="shared" si="1"/>
        <v>1</v>
      </c>
    </row>
    <row r="19" spans="1:8" x14ac:dyDescent="0.3">
      <c r="A19" s="44"/>
      <c r="B19" s="4">
        <v>20</v>
      </c>
      <c r="C19" s="3">
        <v>1.27</v>
      </c>
      <c r="D19" s="3">
        <v>1475</v>
      </c>
      <c r="E19" s="41">
        <f t="shared" si="0"/>
        <v>1475</v>
      </c>
      <c r="F19" s="41"/>
      <c r="G19" s="41"/>
      <c r="H19" s="17">
        <f t="shared" si="1"/>
        <v>1</v>
      </c>
    </row>
    <row r="20" spans="1:8" x14ac:dyDescent="0.3">
      <c r="A20" s="44"/>
      <c r="B20" s="4">
        <v>21</v>
      </c>
      <c r="C20" s="3">
        <v>1.31</v>
      </c>
      <c r="D20" s="3">
        <v>1906</v>
      </c>
      <c r="E20" s="41">
        <f t="shared" si="0"/>
        <v>1906</v>
      </c>
      <c r="F20" s="41"/>
      <c r="G20" s="41"/>
      <c r="H20" s="17">
        <f t="shared" si="1"/>
        <v>1</v>
      </c>
    </row>
    <row r="21" spans="1:8" x14ac:dyDescent="0.3">
      <c r="A21" s="44"/>
      <c r="B21" s="4">
        <v>22</v>
      </c>
      <c r="C21" s="3">
        <v>1.3</v>
      </c>
      <c r="D21" s="3">
        <v>2352</v>
      </c>
      <c r="E21" s="41">
        <f t="shared" si="0"/>
        <v>2352</v>
      </c>
      <c r="F21" s="41"/>
      <c r="G21" s="41"/>
      <c r="H21" s="17">
        <f t="shared" si="1"/>
        <v>1</v>
      </c>
    </row>
    <row r="22" spans="1:8" x14ac:dyDescent="0.3">
      <c r="A22" s="44"/>
      <c r="B22" s="4">
        <v>30</v>
      </c>
      <c r="C22" s="3">
        <v>1.3</v>
      </c>
      <c r="D22" s="3">
        <v>2163</v>
      </c>
      <c r="E22" s="41">
        <f t="shared" si="0"/>
        <v>2163</v>
      </c>
      <c r="F22" s="41"/>
      <c r="G22" s="41"/>
      <c r="H22" s="17">
        <f t="shared" si="1"/>
        <v>1</v>
      </c>
    </row>
    <row r="23" spans="1:8" x14ac:dyDescent="0.3">
      <c r="A23" s="44"/>
      <c r="B23" s="4">
        <v>33</v>
      </c>
      <c r="C23" s="3">
        <v>1.32</v>
      </c>
      <c r="D23" s="3">
        <v>3259</v>
      </c>
      <c r="E23" s="41">
        <f t="shared" si="0"/>
        <v>3259</v>
      </c>
      <c r="F23" s="41"/>
      <c r="G23" s="41"/>
      <c r="H23" s="17">
        <f t="shared" si="1"/>
        <v>1</v>
      </c>
    </row>
    <row r="24" spans="1:8" x14ac:dyDescent="0.3">
      <c r="A24" s="44">
        <v>600</v>
      </c>
      <c r="B24" s="4">
        <v>10</v>
      </c>
      <c r="C24" s="3">
        <v>1.25</v>
      </c>
      <c r="D24" s="3">
        <v>1057</v>
      </c>
      <c r="E24" s="41">
        <f t="shared" si="0"/>
        <v>1057</v>
      </c>
      <c r="F24" s="41"/>
      <c r="G24" s="41"/>
      <c r="H24" s="17">
        <f t="shared" si="1"/>
        <v>1</v>
      </c>
    </row>
    <row r="25" spans="1:8" x14ac:dyDescent="0.3">
      <c r="A25" s="44"/>
      <c r="B25" s="4">
        <v>11</v>
      </c>
      <c r="C25" s="3">
        <v>1.28</v>
      </c>
      <c r="D25" s="3">
        <v>1580</v>
      </c>
      <c r="E25" s="41">
        <f t="shared" si="0"/>
        <v>1580</v>
      </c>
      <c r="F25" s="41"/>
      <c r="G25" s="41"/>
      <c r="H25" s="17">
        <f t="shared" si="1"/>
        <v>1</v>
      </c>
    </row>
    <row r="26" spans="1:8" x14ac:dyDescent="0.3">
      <c r="A26" s="44"/>
      <c r="B26" s="4">
        <v>20</v>
      </c>
      <c r="C26" s="3">
        <v>1.27</v>
      </c>
      <c r="D26" s="3">
        <v>1705</v>
      </c>
      <c r="E26" s="41">
        <f t="shared" si="0"/>
        <v>1705</v>
      </c>
      <c r="F26" s="41"/>
      <c r="G26" s="41"/>
      <c r="H26" s="17">
        <f t="shared" si="1"/>
        <v>1</v>
      </c>
    </row>
    <row r="27" spans="1:8" x14ac:dyDescent="0.3">
      <c r="A27" s="44"/>
      <c r="B27" s="4">
        <v>21</v>
      </c>
      <c r="C27" s="3">
        <v>1.31</v>
      </c>
      <c r="D27" s="3">
        <v>2116</v>
      </c>
      <c r="E27" s="41">
        <f t="shared" si="0"/>
        <v>2116</v>
      </c>
      <c r="F27" s="41"/>
      <c r="G27" s="41"/>
      <c r="H27" s="17">
        <f t="shared" si="1"/>
        <v>1</v>
      </c>
    </row>
    <row r="28" spans="1:8" x14ac:dyDescent="0.3">
      <c r="A28" s="44"/>
      <c r="B28" s="4">
        <v>22</v>
      </c>
      <c r="C28" s="3">
        <v>1.31</v>
      </c>
      <c r="D28" s="3">
        <v>2747</v>
      </c>
      <c r="E28" s="41">
        <f t="shared" si="0"/>
        <v>2747</v>
      </c>
      <c r="F28" s="41"/>
      <c r="G28" s="41"/>
      <c r="H28" s="17">
        <f t="shared" si="1"/>
        <v>1</v>
      </c>
    </row>
    <row r="29" spans="1:8" x14ac:dyDescent="0.3">
      <c r="A29" s="44"/>
      <c r="B29" s="4">
        <v>30</v>
      </c>
      <c r="C29" s="3">
        <v>1.31</v>
      </c>
      <c r="D29" s="3">
        <v>2655</v>
      </c>
      <c r="E29" s="41">
        <f t="shared" si="0"/>
        <v>2655</v>
      </c>
      <c r="F29" s="41"/>
      <c r="G29" s="41"/>
      <c r="H29" s="17">
        <f>POWER(70/$H$2,C29)</f>
        <v>1</v>
      </c>
    </row>
    <row r="30" spans="1:8" x14ac:dyDescent="0.3">
      <c r="A30" s="44"/>
      <c r="B30" s="4">
        <v>33</v>
      </c>
      <c r="C30" s="3">
        <v>1.33</v>
      </c>
      <c r="D30" s="3">
        <v>3782</v>
      </c>
      <c r="E30" s="41">
        <f t="shared" si="0"/>
        <v>3782</v>
      </c>
      <c r="F30" s="41"/>
      <c r="G30" s="41"/>
      <c r="H30" s="17">
        <f t="shared" si="1"/>
        <v>1</v>
      </c>
    </row>
    <row r="31" spans="1:8" x14ac:dyDescent="0.3">
      <c r="A31" s="44">
        <v>900</v>
      </c>
      <c r="B31" s="4">
        <v>10</v>
      </c>
      <c r="C31" s="3">
        <v>1.26</v>
      </c>
      <c r="D31" s="3">
        <v>1485</v>
      </c>
      <c r="E31" s="41">
        <f t="shared" si="0"/>
        <v>1485</v>
      </c>
      <c r="F31" s="41"/>
      <c r="G31" s="41"/>
      <c r="H31" s="17">
        <f t="shared" si="1"/>
        <v>1</v>
      </c>
    </row>
    <row r="32" spans="1:8" x14ac:dyDescent="0.3">
      <c r="A32" s="44"/>
      <c r="B32" s="4">
        <v>11</v>
      </c>
      <c r="C32" s="3">
        <v>1.29</v>
      </c>
      <c r="D32" s="3">
        <v>2166</v>
      </c>
      <c r="E32" s="41">
        <f t="shared" si="0"/>
        <v>2166</v>
      </c>
      <c r="F32" s="41"/>
      <c r="G32" s="41"/>
      <c r="H32" s="17">
        <f t="shared" si="1"/>
        <v>1</v>
      </c>
    </row>
    <row r="33" spans="1:8" x14ac:dyDescent="0.3">
      <c r="A33" s="44"/>
      <c r="B33" s="4">
        <v>20</v>
      </c>
      <c r="C33" s="3">
        <v>1.3</v>
      </c>
      <c r="D33" s="3">
        <v>2545</v>
      </c>
      <c r="E33" s="41">
        <f t="shared" si="0"/>
        <v>2545</v>
      </c>
      <c r="F33" s="41"/>
      <c r="G33" s="41"/>
      <c r="H33" s="17">
        <f t="shared" si="1"/>
        <v>1</v>
      </c>
    </row>
    <row r="34" spans="1:8" x14ac:dyDescent="0.3">
      <c r="A34" s="44"/>
      <c r="B34" s="4">
        <v>21</v>
      </c>
      <c r="C34" s="3">
        <v>1.33</v>
      </c>
      <c r="D34" s="3">
        <v>2917</v>
      </c>
      <c r="E34" s="41">
        <f t="shared" si="0"/>
        <v>2917</v>
      </c>
      <c r="F34" s="41"/>
      <c r="G34" s="41"/>
      <c r="H34" s="17">
        <f t="shared" si="1"/>
        <v>1</v>
      </c>
    </row>
    <row r="35" spans="1:8" x14ac:dyDescent="0.3">
      <c r="A35" s="44"/>
      <c r="B35" s="4">
        <v>22</v>
      </c>
      <c r="C35" s="3">
        <v>1.33</v>
      </c>
      <c r="D35" s="3">
        <v>3891</v>
      </c>
      <c r="E35" s="41">
        <f t="shared" si="0"/>
        <v>3891</v>
      </c>
      <c r="F35" s="41"/>
      <c r="G35" s="41"/>
      <c r="H35" s="17">
        <f t="shared" si="1"/>
        <v>1</v>
      </c>
    </row>
    <row r="36" spans="1:8" x14ac:dyDescent="0.3">
      <c r="A36" s="44"/>
      <c r="B36" s="4">
        <v>30</v>
      </c>
      <c r="C36" s="3">
        <v>1.33</v>
      </c>
      <c r="D36" s="3">
        <v>3717</v>
      </c>
      <c r="E36" s="41">
        <f t="shared" si="0"/>
        <v>3717</v>
      </c>
      <c r="F36" s="41"/>
      <c r="G36" s="41"/>
      <c r="H36" s="17">
        <f t="shared" si="1"/>
        <v>1</v>
      </c>
    </row>
    <row r="37" spans="1:8" x14ac:dyDescent="0.3">
      <c r="A37" s="44"/>
      <c r="B37" s="4">
        <v>33</v>
      </c>
      <c r="C37" s="3">
        <v>1.33</v>
      </c>
      <c r="D37" s="3">
        <v>4835</v>
      </c>
      <c r="E37" s="41">
        <f t="shared" si="0"/>
        <v>4835</v>
      </c>
      <c r="F37" s="41"/>
      <c r="G37" s="41"/>
      <c r="H37" s="17">
        <f t="shared" si="1"/>
        <v>1</v>
      </c>
    </row>
    <row r="39" spans="1:8" x14ac:dyDescent="0.3">
      <c r="A39" t="s">
        <v>24</v>
      </c>
    </row>
  </sheetData>
  <mergeCells count="46">
    <mergeCell ref="A1:A2"/>
    <mergeCell ref="B1:B2"/>
    <mergeCell ref="C1:C2"/>
    <mergeCell ref="A3:A9"/>
    <mergeCell ref="A10:A16"/>
    <mergeCell ref="A17:A23"/>
    <mergeCell ref="A24:A30"/>
    <mergeCell ref="A31:A37"/>
    <mergeCell ref="D1:G1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21:G21"/>
    <mergeCell ref="E22:G22"/>
    <mergeCell ref="E23:G23"/>
    <mergeCell ref="M11:O11"/>
    <mergeCell ref="E15:G15"/>
    <mergeCell ref="E16:G16"/>
    <mergeCell ref="E17:G17"/>
    <mergeCell ref="E18:G18"/>
    <mergeCell ref="E19:G19"/>
    <mergeCell ref="E34:G34"/>
    <mergeCell ref="E35:G35"/>
    <mergeCell ref="E36:G36"/>
    <mergeCell ref="E37:G37"/>
    <mergeCell ref="K14:M14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20:G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Пересчет мощностей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2026-01-26T06:36:55Z</dcterms:modified>
</cp:coreProperties>
</file>